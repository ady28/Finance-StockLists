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1208EC1E-EBF6-A74F-8559-ACB5CC5C5C5C}" xr6:coauthVersionLast="47" xr6:coauthVersionMax="47" xr10:uidLastSave="{00000000-0000-0000-0000-000000000000}"/>
  <bookViews>
    <workbookView xWindow="0" yWindow="0" windowWidth="25600" windowHeight="14400" activeTab="2" xr2:uid="{AEC0C047-6E16-294C-82BD-58123BA913A1}"/>
  </bookViews>
  <sheets>
    <sheet name="Overview" sheetId="2" r:id="rId1"/>
    <sheet name="Financials -&gt;" sheetId="7" r:id="rId2"/>
    <sheet name="Statement Y" sheetId="1" r:id="rId3"/>
    <sheet name="Statement Q" sheetId="3" r:id="rId4"/>
    <sheet name="Statements" sheetId="6" r:id="rId5"/>
    <sheet name="Forecast -&gt;" sheetId="8" r:id="rId6"/>
    <sheet name="Revenue" sheetId="9" r:id="rId7"/>
    <sheet name="COGS &amp; OpEx" sheetId="10" r:id="rId8"/>
    <sheet name="WC &amp; Investments" sheetId="11" r:id="rId9"/>
    <sheet name="FCF &amp; Other" sheetId="12" r:id="rId10"/>
    <sheet name="Valuation -&gt;" sheetId="13" r:id="rId11"/>
    <sheet name="WACC" sheetId="14" r:id="rId12"/>
    <sheet name="DCF" sheetId="15" r:id="rId13"/>
    <sheet name="Multiples" sheetId="16" r:id="rId14"/>
    <sheet name="AVG target price" sheetId="17" r:id="rId15"/>
    <sheet name="Reverse DCF" sheetId="18" r:id="rId16"/>
  </sheets>
  <externalReferences>
    <externalReference r:id="rId17"/>
    <externalReference r:id="rId18"/>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8" i="3" l="1"/>
  <c r="R88" i="3"/>
  <c r="Q88" i="3"/>
  <c r="P88" i="3"/>
  <c r="O88" i="3"/>
  <c r="N88" i="3"/>
  <c r="M88" i="3"/>
  <c r="L88" i="3"/>
  <c r="H16" i="12"/>
  <c r="L6" i="15"/>
  <c r="K6" i="15"/>
  <c r="J6" i="15"/>
  <c r="I6" i="15"/>
  <c r="H6" i="15"/>
  <c r="G6" i="15"/>
  <c r="F6" i="15"/>
  <c r="E6" i="15"/>
  <c r="D6" i="15"/>
  <c r="C6" i="15"/>
  <c r="L43" i="11"/>
  <c r="L16" i="12"/>
  <c r="K16" i="12"/>
  <c r="J16" i="12"/>
  <c r="I16" i="12"/>
  <c r="C13" i="14"/>
  <c r="N149" i="3"/>
  <c r="N77" i="3"/>
  <c r="J183" i="3"/>
  <c r="J184" i="3" s="1"/>
  <c r="I183" i="3"/>
  <c r="H183" i="3"/>
  <c r="G183" i="3"/>
  <c r="F183" i="3"/>
  <c r="E183" i="3"/>
  <c r="D183" i="3"/>
  <c r="C183" i="3"/>
  <c r="H200" i="1"/>
  <c r="G200" i="1"/>
  <c r="F200" i="1"/>
  <c r="E200" i="1"/>
  <c r="D200" i="1"/>
  <c r="C200" i="1"/>
  <c r="C18" i="14"/>
  <c r="J182" i="3"/>
  <c r="N182" i="3" s="1"/>
  <c r="C22" i="15" s="1"/>
  <c r="I182" i="3"/>
  <c r="H182" i="3"/>
  <c r="G182" i="3"/>
  <c r="F182" i="3"/>
  <c r="E182" i="3"/>
  <c r="D182" i="3"/>
  <c r="C182" i="3"/>
  <c r="J181" i="3"/>
  <c r="I181" i="3"/>
  <c r="I186" i="3" s="1"/>
  <c r="H181" i="3"/>
  <c r="H186" i="3" s="1"/>
  <c r="G181" i="3"/>
  <c r="G186" i="3" s="1"/>
  <c r="F181" i="3"/>
  <c r="F186" i="3" s="1"/>
  <c r="E181" i="3"/>
  <c r="E186" i="3" s="1"/>
  <c r="D181" i="3"/>
  <c r="D186" i="3" s="1"/>
  <c r="C181" i="3"/>
  <c r="C186" i="3" s="1"/>
  <c r="H199" i="1"/>
  <c r="G199" i="1"/>
  <c r="F199" i="1"/>
  <c r="E199" i="1"/>
  <c r="D199" i="1"/>
  <c r="C199" i="1"/>
  <c r="H198" i="1"/>
  <c r="H203" i="1" s="1"/>
  <c r="G198" i="1"/>
  <c r="G203" i="1" s="1"/>
  <c r="F198" i="1"/>
  <c r="F203" i="1" s="1"/>
  <c r="E198" i="1"/>
  <c r="E203" i="1" s="1"/>
  <c r="D198" i="1"/>
  <c r="D203" i="1" s="1"/>
  <c r="C198" i="1"/>
  <c r="C203" i="1" s="1"/>
  <c r="G23" i="16"/>
  <c r="F23" i="16"/>
  <c r="E23" i="16"/>
  <c r="D23" i="16"/>
  <c r="C23" i="16"/>
  <c r="C10" i="14"/>
  <c r="C6" i="14"/>
  <c r="C3" i="2"/>
  <c r="C9" i="14"/>
  <c r="C19" i="14" s="1"/>
  <c r="G30" i="11"/>
  <c r="F30" i="11"/>
  <c r="E30" i="11"/>
  <c r="D30" i="11"/>
  <c r="C30" i="11"/>
  <c r="G28" i="11"/>
  <c r="F28" i="11"/>
  <c r="E28" i="11"/>
  <c r="D28" i="11"/>
  <c r="C28" i="11"/>
  <c r="L23" i="11"/>
  <c r="K23" i="11"/>
  <c r="J23" i="11"/>
  <c r="I23" i="11"/>
  <c r="H23" i="11"/>
  <c r="W16" i="10"/>
  <c r="V16" i="10"/>
  <c r="U16" i="10"/>
  <c r="T16" i="10"/>
  <c r="S16" i="10"/>
  <c r="R16" i="10"/>
  <c r="Q16" i="10"/>
  <c r="P16" i="10"/>
  <c r="W15" i="10"/>
  <c r="V15" i="10"/>
  <c r="U15" i="10"/>
  <c r="T15" i="10"/>
  <c r="S15" i="10"/>
  <c r="R15" i="10"/>
  <c r="Q15" i="10"/>
  <c r="P15" i="10"/>
  <c r="W14" i="10"/>
  <c r="V14" i="10"/>
  <c r="U14" i="10"/>
  <c r="T14" i="10"/>
  <c r="S14" i="10"/>
  <c r="R14" i="10"/>
  <c r="Q14" i="10"/>
  <c r="P14" i="10"/>
  <c r="W13" i="10"/>
  <c r="V13" i="10"/>
  <c r="U13" i="10"/>
  <c r="T13" i="10"/>
  <c r="S13" i="10"/>
  <c r="R13" i="10"/>
  <c r="Q13" i="10"/>
  <c r="P13" i="10"/>
  <c r="W12" i="10"/>
  <c r="V12" i="10"/>
  <c r="U12" i="10"/>
  <c r="T12" i="10"/>
  <c r="S12" i="10"/>
  <c r="R12" i="10"/>
  <c r="Q12" i="10"/>
  <c r="P12" i="10"/>
  <c r="O16" i="10"/>
  <c r="O15" i="10"/>
  <c r="O14" i="10"/>
  <c r="O25" i="10" s="1"/>
  <c r="O13" i="10"/>
  <c r="O24" i="10" s="1"/>
  <c r="O12" i="10"/>
  <c r="O23" i="10" s="1"/>
  <c r="W11" i="10"/>
  <c r="V11" i="10"/>
  <c r="U11" i="10"/>
  <c r="T11" i="10"/>
  <c r="S11" i="10"/>
  <c r="R11" i="10"/>
  <c r="Q11" i="10"/>
  <c r="P11" i="10"/>
  <c r="AB5" i="10"/>
  <c r="AB10" i="10" s="1"/>
  <c r="AB4" i="10"/>
  <c r="O27" i="10"/>
  <c r="O26" i="10"/>
  <c r="G16" i="10"/>
  <c r="G13" i="12" s="1"/>
  <c r="F16" i="10"/>
  <c r="F13" i="12" s="1"/>
  <c r="E16" i="10"/>
  <c r="E13" i="12" s="1"/>
  <c r="D16" i="10"/>
  <c r="D13" i="12" s="1"/>
  <c r="C16" i="10"/>
  <c r="C13" i="12" s="1"/>
  <c r="G15" i="10"/>
  <c r="G12" i="12" s="1"/>
  <c r="F15" i="10"/>
  <c r="F12" i="12" s="1"/>
  <c r="E15" i="10"/>
  <c r="E12" i="12" s="1"/>
  <c r="D15" i="10"/>
  <c r="D12" i="12" s="1"/>
  <c r="C15" i="10"/>
  <c r="C12" i="12" s="1"/>
  <c r="G14" i="10"/>
  <c r="G11" i="12" s="1"/>
  <c r="F14" i="10"/>
  <c r="F11" i="12" s="1"/>
  <c r="E14" i="10"/>
  <c r="E11" i="12" s="1"/>
  <c r="D14" i="10"/>
  <c r="D11" i="12" s="1"/>
  <c r="C14" i="10"/>
  <c r="C11" i="12" s="1"/>
  <c r="G13" i="10"/>
  <c r="G10" i="12" s="1"/>
  <c r="F13" i="10"/>
  <c r="F10" i="12" s="1"/>
  <c r="E13" i="10"/>
  <c r="E10" i="12" s="1"/>
  <c r="D13" i="10"/>
  <c r="D10" i="12" s="1"/>
  <c r="C13" i="10"/>
  <c r="C10" i="12" s="1"/>
  <c r="G12" i="10"/>
  <c r="G9" i="12" s="1"/>
  <c r="F12" i="10"/>
  <c r="F9" i="12" s="1"/>
  <c r="E12" i="10"/>
  <c r="E9" i="12" s="1"/>
  <c r="D12" i="10"/>
  <c r="D9" i="12" s="1"/>
  <c r="C12" i="10"/>
  <c r="C9" i="12" s="1"/>
  <c r="B16" i="10"/>
  <c r="B15" i="10"/>
  <c r="B14" i="10"/>
  <c r="B13" i="10"/>
  <c r="B10" i="12" s="1"/>
  <c r="B12" i="10"/>
  <c r="G11" i="10"/>
  <c r="F11" i="10"/>
  <c r="E11" i="10"/>
  <c r="D11" i="10"/>
  <c r="C11" i="10"/>
  <c r="O22" i="10"/>
  <c r="B22" i="10"/>
  <c r="Z21" i="10"/>
  <c r="Y21" i="10"/>
  <c r="X21" i="10"/>
  <c r="B24" i="10"/>
  <c r="Z10" i="10"/>
  <c r="Y10" i="10"/>
  <c r="X10" i="10"/>
  <c r="Z6" i="10"/>
  <c r="Y6" i="10"/>
  <c r="AB9" i="10"/>
  <c r="R28" i="9"/>
  <c r="R26" i="9"/>
  <c r="Z24" i="9"/>
  <c r="Y24" i="9"/>
  <c r="X24" i="9"/>
  <c r="W24" i="9"/>
  <c r="V24" i="9"/>
  <c r="U24" i="9"/>
  <c r="T24" i="9"/>
  <c r="S24" i="9"/>
  <c r="R24" i="9"/>
  <c r="Y23" i="9"/>
  <c r="X23" i="9"/>
  <c r="W23" i="9"/>
  <c r="V23" i="9"/>
  <c r="U23" i="9"/>
  <c r="T23" i="9"/>
  <c r="S23" i="9"/>
  <c r="Z22" i="9"/>
  <c r="Y22" i="9"/>
  <c r="X22" i="9"/>
  <c r="W22" i="9"/>
  <c r="V22" i="9"/>
  <c r="U22" i="9"/>
  <c r="T22" i="9"/>
  <c r="S22" i="9"/>
  <c r="R23" i="9"/>
  <c r="R22" i="9"/>
  <c r="Z20" i="9"/>
  <c r="Y20" i="9"/>
  <c r="X20" i="9"/>
  <c r="W20" i="9"/>
  <c r="V20" i="9"/>
  <c r="U20" i="9"/>
  <c r="T20" i="9"/>
  <c r="S20" i="9"/>
  <c r="R20" i="9"/>
  <c r="AC19" i="9"/>
  <c r="AB19" i="9"/>
  <c r="AA19" i="9"/>
  <c r="B32" i="9"/>
  <c r="B30" i="9"/>
  <c r="G28" i="9"/>
  <c r="F28" i="9"/>
  <c r="E28" i="9"/>
  <c r="D28" i="9"/>
  <c r="B28" i="9"/>
  <c r="B26" i="9"/>
  <c r="G24" i="9"/>
  <c r="F24" i="9"/>
  <c r="E24" i="9"/>
  <c r="D24" i="9"/>
  <c r="C24" i="9"/>
  <c r="B24" i="9"/>
  <c r="F23" i="9"/>
  <c r="E23" i="9"/>
  <c r="D23" i="9"/>
  <c r="C23" i="9"/>
  <c r="B23" i="9"/>
  <c r="G22" i="9"/>
  <c r="F22" i="9"/>
  <c r="E22" i="9"/>
  <c r="D22" i="9"/>
  <c r="C22" i="9"/>
  <c r="B22" i="9"/>
  <c r="G20" i="9"/>
  <c r="F20" i="9"/>
  <c r="E20" i="9"/>
  <c r="D20" i="9"/>
  <c r="C20" i="9"/>
  <c r="B20" i="9"/>
  <c r="Z9" i="9"/>
  <c r="W6" i="10" s="1"/>
  <c r="Y9" i="9"/>
  <c r="V6" i="10" s="1"/>
  <c r="X9" i="9"/>
  <c r="U6" i="10" s="1"/>
  <c r="W9" i="9"/>
  <c r="V9" i="9"/>
  <c r="S6" i="10" s="1"/>
  <c r="U9" i="9"/>
  <c r="R6" i="10" s="1"/>
  <c r="T9" i="9"/>
  <c r="Q6" i="10" s="1"/>
  <c r="S9" i="9"/>
  <c r="P6" i="10" s="1"/>
  <c r="Z8" i="9"/>
  <c r="Y8" i="9"/>
  <c r="Y15" i="9" s="1"/>
  <c r="X8" i="9"/>
  <c r="W8" i="9"/>
  <c r="V8" i="9"/>
  <c r="U8" i="9"/>
  <c r="T8" i="9"/>
  <c r="S8" i="9"/>
  <c r="Z7" i="9"/>
  <c r="Y7" i="9"/>
  <c r="Y14" i="9" s="1"/>
  <c r="X7" i="9"/>
  <c r="W7" i="9"/>
  <c r="V7" i="9"/>
  <c r="U7" i="9"/>
  <c r="T7" i="9"/>
  <c r="S7" i="9"/>
  <c r="Z6" i="9"/>
  <c r="Y6" i="9"/>
  <c r="X6" i="9"/>
  <c r="W6" i="9"/>
  <c r="W13" i="9" s="1"/>
  <c r="V6" i="9"/>
  <c r="U6" i="9"/>
  <c r="T6" i="9"/>
  <c r="S6" i="9"/>
  <c r="R8" i="9"/>
  <c r="R15" i="9" s="1"/>
  <c r="R7" i="9"/>
  <c r="R14" i="9" s="1"/>
  <c r="R6" i="9"/>
  <c r="R13" i="9" s="1"/>
  <c r="Z5" i="9"/>
  <c r="Y5" i="9"/>
  <c r="X5" i="9"/>
  <c r="W5" i="9"/>
  <c r="T5" i="10" s="1"/>
  <c r="V5" i="9"/>
  <c r="S5" i="10" s="1"/>
  <c r="U5" i="9"/>
  <c r="R5" i="10" s="1"/>
  <c r="T5" i="9"/>
  <c r="Q5" i="10" s="1"/>
  <c r="S5" i="9"/>
  <c r="G9" i="9"/>
  <c r="F9" i="9"/>
  <c r="E9" i="9"/>
  <c r="D9" i="9"/>
  <c r="C9" i="9"/>
  <c r="G8" i="9"/>
  <c r="F8" i="9"/>
  <c r="E8" i="9"/>
  <c r="D8" i="9"/>
  <c r="C8" i="9"/>
  <c r="G7" i="9"/>
  <c r="F7" i="9"/>
  <c r="E7" i="9"/>
  <c r="D7" i="9"/>
  <c r="C7" i="9"/>
  <c r="G6" i="9"/>
  <c r="F6" i="9"/>
  <c r="E6" i="9"/>
  <c r="D6" i="9"/>
  <c r="C6" i="9"/>
  <c r="B8" i="9"/>
  <c r="B15" i="9" s="1"/>
  <c r="B7" i="9"/>
  <c r="B14" i="9" s="1"/>
  <c r="B6" i="9"/>
  <c r="B13" i="9" s="1"/>
  <c r="AC12" i="9"/>
  <c r="AB12" i="9"/>
  <c r="AA12" i="9"/>
  <c r="D13" i="9"/>
  <c r="W12" i="9"/>
  <c r="W19" i="9" s="1"/>
  <c r="V12" i="9"/>
  <c r="V19" i="9" s="1"/>
  <c r="U12" i="9"/>
  <c r="U19" i="9" s="1"/>
  <c r="T12" i="9"/>
  <c r="T19" i="9" s="1"/>
  <c r="N147" i="3"/>
  <c r="J167" i="3"/>
  <c r="Z23" i="9" s="1"/>
  <c r="H177" i="1"/>
  <c r="G23" i="9" s="1"/>
  <c r="J168" i="3"/>
  <c r="Z28" i="9" s="1"/>
  <c r="E188" i="1"/>
  <c r="D30" i="9" s="1"/>
  <c r="F188" i="1"/>
  <c r="E30" i="9" s="1"/>
  <c r="G188" i="1"/>
  <c r="F30" i="9" s="1"/>
  <c r="F31" i="9" s="1"/>
  <c r="H189" i="1"/>
  <c r="G32" i="9" s="1"/>
  <c r="H188" i="1"/>
  <c r="G30" i="9" s="1"/>
  <c r="H174" i="1"/>
  <c r="G26" i="9" s="1"/>
  <c r="J164" i="3"/>
  <c r="Z26" i="9" s="1"/>
  <c r="H94" i="6"/>
  <c r="H93" i="6"/>
  <c r="H92" i="6"/>
  <c r="H91" i="6"/>
  <c r="H90" i="6"/>
  <c r="H89" i="6"/>
  <c r="H88" i="6"/>
  <c r="G45" i="11" s="1"/>
  <c r="H87" i="6"/>
  <c r="H86" i="6"/>
  <c r="H85" i="6"/>
  <c r="H84" i="6"/>
  <c r="G35" i="11" s="1"/>
  <c r="H83" i="6"/>
  <c r="H82" i="6"/>
  <c r="H81" i="6"/>
  <c r="H80" i="6"/>
  <c r="H79" i="6"/>
  <c r="H78" i="6"/>
  <c r="H77" i="6"/>
  <c r="H76" i="6"/>
  <c r="H75" i="6"/>
  <c r="H74" i="6"/>
  <c r="H73" i="6"/>
  <c r="G42" i="11" s="1"/>
  <c r="G27" i="12" s="1"/>
  <c r="I141" i="3"/>
  <c r="I142" i="3" s="1"/>
  <c r="H141" i="3"/>
  <c r="H142" i="3" s="1"/>
  <c r="G141" i="3"/>
  <c r="G142" i="3" s="1"/>
  <c r="F141" i="3"/>
  <c r="F142" i="3" s="1"/>
  <c r="E141" i="3"/>
  <c r="E142" i="3" s="1"/>
  <c r="D141" i="3"/>
  <c r="D142" i="3" s="1"/>
  <c r="C141" i="3"/>
  <c r="C142" i="3" s="1"/>
  <c r="J141" i="3"/>
  <c r="C139" i="3"/>
  <c r="D139" i="3"/>
  <c r="D140" i="3" s="1"/>
  <c r="E139" i="3"/>
  <c r="F139" i="3"/>
  <c r="G139" i="3"/>
  <c r="G140" i="3" s="1"/>
  <c r="H139" i="3"/>
  <c r="I139" i="3"/>
  <c r="J139" i="3"/>
  <c r="C140" i="3"/>
  <c r="E140" i="3"/>
  <c r="F140" i="3"/>
  <c r="H140" i="3"/>
  <c r="I140" i="3"/>
  <c r="I143" i="1"/>
  <c r="J143" i="1"/>
  <c r="K143" i="1"/>
  <c r="H143" i="1"/>
  <c r="I141" i="1"/>
  <c r="J141" i="1"/>
  <c r="K141" i="1"/>
  <c r="C141" i="1"/>
  <c r="D141" i="1"/>
  <c r="E141" i="1"/>
  <c r="F141" i="1"/>
  <c r="G141" i="1"/>
  <c r="H141" i="1"/>
  <c r="H139" i="1"/>
  <c r="I76" i="3"/>
  <c r="I137" i="3" s="1"/>
  <c r="I138" i="3" s="1"/>
  <c r="J76" i="3"/>
  <c r="Q83" i="6"/>
  <c r="P83" i="6"/>
  <c r="O83" i="6"/>
  <c r="N83" i="6"/>
  <c r="M83" i="6"/>
  <c r="L83" i="6"/>
  <c r="K83" i="6"/>
  <c r="J83" i="6"/>
  <c r="G83" i="6"/>
  <c r="F83" i="6"/>
  <c r="E83" i="6"/>
  <c r="D83" i="6"/>
  <c r="C83" i="6"/>
  <c r="H69" i="6"/>
  <c r="H68" i="6"/>
  <c r="H67" i="6"/>
  <c r="H66" i="6"/>
  <c r="H65" i="6"/>
  <c r="H64" i="6"/>
  <c r="H63" i="6"/>
  <c r="H61" i="6"/>
  <c r="H60" i="6"/>
  <c r="H59" i="6"/>
  <c r="H57" i="6"/>
  <c r="H56" i="6"/>
  <c r="Q58" i="6"/>
  <c r="S58" i="6" s="1"/>
  <c r="P58" i="6"/>
  <c r="O58" i="6"/>
  <c r="N58" i="6"/>
  <c r="M58" i="6"/>
  <c r="L58" i="6"/>
  <c r="K58" i="6"/>
  <c r="J58" i="6"/>
  <c r="H58" i="6"/>
  <c r="G58" i="6"/>
  <c r="F58" i="6"/>
  <c r="E58" i="6"/>
  <c r="D58" i="6"/>
  <c r="C58" i="6"/>
  <c r="H55" i="6"/>
  <c r="H54" i="6"/>
  <c r="H53" i="6"/>
  <c r="H51" i="6"/>
  <c r="H50" i="6"/>
  <c r="G15" i="11" s="1"/>
  <c r="H49" i="6"/>
  <c r="H48" i="6"/>
  <c r="G30" i="16" s="1"/>
  <c r="H47" i="6"/>
  <c r="Q52" i="6"/>
  <c r="S52" i="6" s="1"/>
  <c r="P52" i="6"/>
  <c r="O52" i="6"/>
  <c r="N52" i="6"/>
  <c r="M52" i="6"/>
  <c r="L52" i="6"/>
  <c r="K52" i="6"/>
  <c r="J52" i="6"/>
  <c r="H52" i="6"/>
  <c r="G52" i="6"/>
  <c r="F52" i="6"/>
  <c r="E52" i="6"/>
  <c r="D52" i="6"/>
  <c r="C52" i="6"/>
  <c r="H46" i="6"/>
  <c r="H42" i="6"/>
  <c r="H41" i="6"/>
  <c r="H40" i="6"/>
  <c r="H39" i="6"/>
  <c r="H38" i="6"/>
  <c r="H37" i="6"/>
  <c r="H36" i="6"/>
  <c r="H35" i="6"/>
  <c r="Q44" i="6"/>
  <c r="S44" i="6" s="1"/>
  <c r="P44" i="6"/>
  <c r="O44" i="6"/>
  <c r="N44" i="6"/>
  <c r="M44" i="6"/>
  <c r="L44" i="6"/>
  <c r="K44" i="6"/>
  <c r="Q43" i="6"/>
  <c r="S43" i="6" s="1"/>
  <c r="P43" i="6"/>
  <c r="O43" i="6"/>
  <c r="N43" i="6"/>
  <c r="M43" i="6"/>
  <c r="L43" i="6"/>
  <c r="K43" i="6"/>
  <c r="J44" i="6"/>
  <c r="J43" i="6"/>
  <c r="H44" i="6"/>
  <c r="G44" i="6"/>
  <c r="F44" i="6"/>
  <c r="E44" i="6"/>
  <c r="D44" i="6"/>
  <c r="H43" i="6"/>
  <c r="G43" i="6"/>
  <c r="F43" i="6"/>
  <c r="E43" i="6"/>
  <c r="D43" i="6"/>
  <c r="C44" i="6"/>
  <c r="C43" i="6"/>
  <c r="H34" i="6"/>
  <c r="H33" i="6"/>
  <c r="H32" i="6"/>
  <c r="G32" i="6"/>
  <c r="G33" i="6"/>
  <c r="G34" i="6"/>
  <c r="H28" i="6"/>
  <c r="G13" i="11" s="1"/>
  <c r="H27" i="6"/>
  <c r="H26" i="6"/>
  <c r="G31" i="16" s="1"/>
  <c r="Q31" i="6"/>
  <c r="S31" i="6" s="1"/>
  <c r="P31" i="6"/>
  <c r="O31" i="6"/>
  <c r="N31" i="6"/>
  <c r="M31" i="6"/>
  <c r="L31" i="6"/>
  <c r="K31" i="6"/>
  <c r="Q30" i="6"/>
  <c r="S30" i="6" s="1"/>
  <c r="P30" i="6"/>
  <c r="O30" i="6"/>
  <c r="N30" i="6"/>
  <c r="M30" i="6"/>
  <c r="L30" i="6"/>
  <c r="K30" i="6"/>
  <c r="Q29" i="6"/>
  <c r="S29" i="6" s="1"/>
  <c r="P29" i="6"/>
  <c r="O29" i="6"/>
  <c r="N29" i="6"/>
  <c r="M29" i="6"/>
  <c r="L29" i="6"/>
  <c r="K29" i="6"/>
  <c r="J31" i="6"/>
  <c r="J30" i="6"/>
  <c r="J29" i="6"/>
  <c r="H31" i="6"/>
  <c r="G31" i="6"/>
  <c r="F31" i="6"/>
  <c r="E31" i="6"/>
  <c r="D31" i="6"/>
  <c r="H30" i="6"/>
  <c r="G30" i="6"/>
  <c r="F30" i="6"/>
  <c r="E30" i="6"/>
  <c r="D30" i="6"/>
  <c r="H29" i="6"/>
  <c r="G29" i="6"/>
  <c r="F29" i="6"/>
  <c r="E29" i="6"/>
  <c r="D29" i="6"/>
  <c r="C29" i="6"/>
  <c r="C30" i="6"/>
  <c r="C31" i="6"/>
  <c r="H23" i="6"/>
  <c r="H22" i="6"/>
  <c r="G18" i="16" s="1"/>
  <c r="H21" i="6"/>
  <c r="H20" i="6"/>
  <c r="H19" i="6"/>
  <c r="H18" i="6"/>
  <c r="H17" i="6"/>
  <c r="H16" i="6"/>
  <c r="H14" i="6"/>
  <c r="H12" i="6"/>
  <c r="H11" i="6"/>
  <c r="H10" i="6"/>
  <c r="H9" i="6"/>
  <c r="H8" i="6"/>
  <c r="H6" i="6"/>
  <c r="H5" i="6"/>
  <c r="H2" i="6"/>
  <c r="Q18" i="6"/>
  <c r="P18" i="6"/>
  <c r="O18" i="6"/>
  <c r="N18" i="6"/>
  <c r="M18" i="6"/>
  <c r="L18" i="6"/>
  <c r="K18" i="6"/>
  <c r="J18" i="6"/>
  <c r="G18" i="6"/>
  <c r="F18" i="6"/>
  <c r="E18" i="6"/>
  <c r="D18" i="6"/>
  <c r="C18" i="6"/>
  <c r="H170" i="1"/>
  <c r="H169" i="1"/>
  <c r="H165" i="1"/>
  <c r="H164" i="1"/>
  <c r="H163" i="1"/>
  <c r="H161" i="1"/>
  <c r="H160" i="1"/>
  <c r="H158" i="1"/>
  <c r="H157" i="1"/>
  <c r="H150" i="1"/>
  <c r="H149" i="1"/>
  <c r="H151" i="1"/>
  <c r="N17" i="3"/>
  <c r="Q17" i="3"/>
  <c r="P17" i="3"/>
  <c r="R17" i="3" s="1"/>
  <c r="J7" i="3"/>
  <c r="C130" i="3"/>
  <c r="C131" i="3" s="1"/>
  <c r="D130" i="3"/>
  <c r="D131" i="3" s="1"/>
  <c r="E130" i="3"/>
  <c r="E131" i="3" s="1"/>
  <c r="F130" i="3"/>
  <c r="F131" i="3" s="1"/>
  <c r="G130" i="3"/>
  <c r="G131" i="3" s="1"/>
  <c r="H130" i="3"/>
  <c r="H131" i="3" s="1"/>
  <c r="I130" i="3"/>
  <c r="I131" i="3" s="1"/>
  <c r="J130" i="3"/>
  <c r="J64" i="3"/>
  <c r="J47" i="3"/>
  <c r="I168" i="3"/>
  <c r="Y28" i="9" s="1"/>
  <c r="H168" i="3"/>
  <c r="X28" i="9" s="1"/>
  <c r="G168" i="3"/>
  <c r="W28" i="9" s="1"/>
  <c r="F168" i="3"/>
  <c r="V28" i="9" s="1"/>
  <c r="V29" i="9" s="1"/>
  <c r="E168" i="3"/>
  <c r="U28" i="9" s="1"/>
  <c r="D168" i="3"/>
  <c r="T28" i="9" s="1"/>
  <c r="C168" i="3"/>
  <c r="S28" i="9" s="1"/>
  <c r="I164" i="3"/>
  <c r="Y26" i="9" s="1"/>
  <c r="H164" i="3"/>
  <c r="X26" i="9" s="1"/>
  <c r="G164" i="3"/>
  <c r="W26" i="9" s="1"/>
  <c r="W27" i="9" s="1"/>
  <c r="F164" i="3"/>
  <c r="V26" i="9" s="1"/>
  <c r="E164" i="3"/>
  <c r="U26" i="9" s="1"/>
  <c r="D164" i="3"/>
  <c r="T26" i="9" s="1"/>
  <c r="C164" i="3"/>
  <c r="S26" i="9" s="1"/>
  <c r="I143" i="3"/>
  <c r="I144" i="3" s="1"/>
  <c r="H143" i="3"/>
  <c r="H144" i="3" s="1"/>
  <c r="G143" i="3"/>
  <c r="G144" i="3" s="1"/>
  <c r="F143" i="3"/>
  <c r="F144" i="3" s="1"/>
  <c r="E143" i="3"/>
  <c r="E144" i="3" s="1"/>
  <c r="D143" i="3"/>
  <c r="D144" i="3" s="1"/>
  <c r="C143" i="3"/>
  <c r="C144" i="3" s="1"/>
  <c r="I136" i="3"/>
  <c r="H136" i="3"/>
  <c r="G136" i="3"/>
  <c r="F136" i="3"/>
  <c r="E136" i="3"/>
  <c r="D136" i="3"/>
  <c r="C136" i="3"/>
  <c r="I134" i="3"/>
  <c r="I135" i="3" s="1"/>
  <c r="H134" i="3"/>
  <c r="H135" i="3" s="1"/>
  <c r="G134" i="3"/>
  <c r="G135" i="3" s="1"/>
  <c r="F134" i="3"/>
  <c r="F135" i="3" s="1"/>
  <c r="E134" i="3"/>
  <c r="E135" i="3" s="1"/>
  <c r="D134" i="3"/>
  <c r="D135" i="3" s="1"/>
  <c r="C134" i="3"/>
  <c r="C135" i="3" s="1"/>
  <c r="I132" i="3"/>
  <c r="I133" i="3" s="1"/>
  <c r="H132" i="3"/>
  <c r="H133" i="3" s="1"/>
  <c r="G132" i="3"/>
  <c r="G133" i="3" s="1"/>
  <c r="F132" i="3"/>
  <c r="F133" i="3" s="1"/>
  <c r="E132" i="3"/>
  <c r="E133" i="3" s="1"/>
  <c r="D132" i="3"/>
  <c r="D133" i="3" s="1"/>
  <c r="C132" i="3"/>
  <c r="C133" i="3" s="1"/>
  <c r="H137" i="3"/>
  <c r="H138" i="3" s="1"/>
  <c r="G76" i="3"/>
  <c r="G137" i="3" s="1"/>
  <c r="G138" i="3" s="1"/>
  <c r="F76" i="3"/>
  <c r="F137" i="3" s="1"/>
  <c r="F138" i="3" s="1"/>
  <c r="E76" i="3"/>
  <c r="E137" i="3" s="1"/>
  <c r="E138" i="3" s="1"/>
  <c r="D76" i="3"/>
  <c r="D137" i="3" s="1"/>
  <c r="D138" i="3" s="1"/>
  <c r="C76" i="3"/>
  <c r="C137" i="3" s="1"/>
  <c r="C138" i="3" s="1"/>
  <c r="I64" i="3"/>
  <c r="H64" i="3"/>
  <c r="G64" i="3"/>
  <c r="F64" i="3"/>
  <c r="E64" i="3"/>
  <c r="D64" i="3"/>
  <c r="C64" i="3"/>
  <c r="I47" i="3"/>
  <c r="H47" i="3"/>
  <c r="G47" i="3"/>
  <c r="F47" i="3"/>
  <c r="E47" i="3"/>
  <c r="D47" i="3"/>
  <c r="C47" i="3"/>
  <c r="I13" i="3"/>
  <c r="H13" i="3"/>
  <c r="G13" i="3"/>
  <c r="F13" i="3"/>
  <c r="E13" i="3"/>
  <c r="D13" i="3"/>
  <c r="C13" i="3"/>
  <c r="I7" i="3"/>
  <c r="H7" i="3"/>
  <c r="G7" i="3"/>
  <c r="F7" i="3"/>
  <c r="E7" i="3"/>
  <c r="D7" i="3"/>
  <c r="C7" i="3"/>
  <c r="I132" i="1"/>
  <c r="J132" i="1"/>
  <c r="K132" i="1"/>
  <c r="H132" i="1"/>
  <c r="I130" i="1"/>
  <c r="J130" i="1"/>
  <c r="K130" i="1"/>
  <c r="C130" i="1"/>
  <c r="D130" i="1"/>
  <c r="E130" i="1"/>
  <c r="F130" i="1"/>
  <c r="G130" i="1"/>
  <c r="H130" i="1"/>
  <c r="C20" i="2"/>
  <c r="C21" i="2" s="1"/>
  <c r="Q94" i="6"/>
  <c r="S94" i="6" s="1"/>
  <c r="P94" i="6"/>
  <c r="O94" i="6"/>
  <c r="N94" i="6"/>
  <c r="M94" i="6"/>
  <c r="L94" i="6"/>
  <c r="K94" i="6"/>
  <c r="J94" i="6"/>
  <c r="Q93" i="6"/>
  <c r="P93" i="6"/>
  <c r="O93" i="6"/>
  <c r="N93" i="6"/>
  <c r="S93" i="6" s="1"/>
  <c r="M93" i="6"/>
  <c r="L93" i="6"/>
  <c r="K93" i="6"/>
  <c r="J93" i="6"/>
  <c r="Q92" i="6"/>
  <c r="P92" i="6"/>
  <c r="O92" i="6"/>
  <c r="N92" i="6"/>
  <c r="S92" i="6" s="1"/>
  <c r="M92" i="6"/>
  <c r="L92" i="6"/>
  <c r="K92" i="6"/>
  <c r="J92" i="6"/>
  <c r="Q91" i="6"/>
  <c r="P91" i="6"/>
  <c r="O91" i="6"/>
  <c r="N91" i="6"/>
  <c r="M91" i="6"/>
  <c r="L91" i="6"/>
  <c r="K91" i="6"/>
  <c r="J91" i="6"/>
  <c r="Q90" i="6"/>
  <c r="P90" i="6"/>
  <c r="O90" i="6"/>
  <c r="N90" i="6"/>
  <c r="M90" i="6"/>
  <c r="L90" i="6"/>
  <c r="K90" i="6"/>
  <c r="J90" i="6"/>
  <c r="Q89" i="6"/>
  <c r="P89" i="6"/>
  <c r="O89" i="6"/>
  <c r="N89" i="6"/>
  <c r="M89" i="6"/>
  <c r="L89" i="6"/>
  <c r="K89" i="6"/>
  <c r="J89" i="6"/>
  <c r="Q88" i="6"/>
  <c r="P88" i="6"/>
  <c r="O88" i="6"/>
  <c r="N88" i="6"/>
  <c r="S88" i="6" s="1"/>
  <c r="M88" i="6"/>
  <c r="L88" i="6"/>
  <c r="K88" i="6"/>
  <c r="J88" i="6"/>
  <c r="Q87" i="6"/>
  <c r="P87" i="6"/>
  <c r="O87" i="6"/>
  <c r="N87" i="6"/>
  <c r="M87" i="6"/>
  <c r="L87" i="6"/>
  <c r="K87" i="6"/>
  <c r="J87" i="6"/>
  <c r="Q86" i="6"/>
  <c r="P86" i="6"/>
  <c r="O86" i="6"/>
  <c r="N86" i="6"/>
  <c r="S86" i="6" s="1"/>
  <c r="M86" i="6"/>
  <c r="L86" i="6"/>
  <c r="K86" i="6"/>
  <c r="J86" i="6"/>
  <c r="Q85" i="6"/>
  <c r="P85" i="6"/>
  <c r="O85" i="6"/>
  <c r="N85" i="6"/>
  <c r="M85" i="6"/>
  <c r="L85" i="6"/>
  <c r="K85" i="6"/>
  <c r="J85" i="6"/>
  <c r="Q84" i="6"/>
  <c r="P84" i="6"/>
  <c r="O84" i="6"/>
  <c r="N84" i="6"/>
  <c r="M84" i="6"/>
  <c r="L84" i="6"/>
  <c r="K84" i="6"/>
  <c r="J84" i="6"/>
  <c r="Q82" i="6"/>
  <c r="P82" i="6"/>
  <c r="O82" i="6"/>
  <c r="N82" i="6"/>
  <c r="M82" i="6"/>
  <c r="L82" i="6"/>
  <c r="K82" i="6"/>
  <c r="J82" i="6"/>
  <c r="Q81" i="6"/>
  <c r="P81" i="6"/>
  <c r="O81" i="6"/>
  <c r="N81" i="6"/>
  <c r="S81" i="6" s="1"/>
  <c r="M81" i="6"/>
  <c r="L81" i="6"/>
  <c r="K81" i="6"/>
  <c r="J81" i="6"/>
  <c r="Q80" i="6"/>
  <c r="P80" i="6"/>
  <c r="O80" i="6"/>
  <c r="N80" i="6"/>
  <c r="S80" i="6" s="1"/>
  <c r="M80" i="6"/>
  <c r="L80" i="6"/>
  <c r="K80" i="6"/>
  <c r="J80" i="6"/>
  <c r="Q79" i="6"/>
  <c r="P79" i="6"/>
  <c r="O79" i="6"/>
  <c r="N79" i="6"/>
  <c r="M79" i="6"/>
  <c r="L79" i="6"/>
  <c r="K79" i="6"/>
  <c r="J79" i="6"/>
  <c r="Q78" i="6"/>
  <c r="P78" i="6"/>
  <c r="O78" i="6"/>
  <c r="N78" i="6"/>
  <c r="S78" i="6" s="1"/>
  <c r="M78" i="6"/>
  <c r="L78" i="6"/>
  <c r="K78" i="6"/>
  <c r="J78" i="6"/>
  <c r="Q77" i="6"/>
  <c r="P77" i="6"/>
  <c r="O77" i="6"/>
  <c r="N77" i="6"/>
  <c r="M77" i="6"/>
  <c r="L77" i="6"/>
  <c r="K77" i="6"/>
  <c r="J77" i="6"/>
  <c r="Q76" i="6"/>
  <c r="P76" i="6"/>
  <c r="O76" i="6"/>
  <c r="N76" i="6"/>
  <c r="M76" i="6"/>
  <c r="L76" i="6"/>
  <c r="K76" i="6"/>
  <c r="J76" i="6"/>
  <c r="Q75" i="6"/>
  <c r="P75" i="6"/>
  <c r="O75" i="6"/>
  <c r="N75" i="6"/>
  <c r="M75" i="6"/>
  <c r="L75" i="6"/>
  <c r="K75" i="6"/>
  <c r="J75" i="6"/>
  <c r="Q74" i="6"/>
  <c r="P74" i="6"/>
  <c r="O74" i="6"/>
  <c r="N74" i="6"/>
  <c r="S74" i="6" s="1"/>
  <c r="M74" i="6"/>
  <c r="L74" i="6"/>
  <c r="K74" i="6"/>
  <c r="J74" i="6"/>
  <c r="Q73" i="6"/>
  <c r="P73" i="6"/>
  <c r="O73" i="6"/>
  <c r="N73" i="6"/>
  <c r="S73" i="6" s="1"/>
  <c r="M73" i="6"/>
  <c r="L73" i="6"/>
  <c r="K73" i="6"/>
  <c r="J73" i="6"/>
  <c r="Q69" i="6"/>
  <c r="S69" i="6" s="1"/>
  <c r="P69" i="6"/>
  <c r="O69" i="6"/>
  <c r="N69" i="6"/>
  <c r="M69" i="6"/>
  <c r="L69" i="6"/>
  <c r="K69" i="6"/>
  <c r="J69" i="6"/>
  <c r="Q68" i="6"/>
  <c r="S68" i="6" s="1"/>
  <c r="P68" i="6"/>
  <c r="O68" i="6"/>
  <c r="N68" i="6"/>
  <c r="M68" i="6"/>
  <c r="L68" i="6"/>
  <c r="K68" i="6"/>
  <c r="J68" i="6"/>
  <c r="Q67" i="6"/>
  <c r="S67" i="6" s="1"/>
  <c r="P67" i="6"/>
  <c r="O67" i="6"/>
  <c r="N67" i="6"/>
  <c r="M67" i="6"/>
  <c r="L67" i="6"/>
  <c r="K67" i="6"/>
  <c r="J67" i="6"/>
  <c r="Q66" i="6"/>
  <c r="S66" i="6" s="1"/>
  <c r="P66" i="6"/>
  <c r="O66" i="6"/>
  <c r="N66" i="6"/>
  <c r="M66" i="6"/>
  <c r="L66" i="6"/>
  <c r="K66" i="6"/>
  <c r="J66" i="6"/>
  <c r="Q65" i="6"/>
  <c r="S65" i="6" s="1"/>
  <c r="P65" i="6"/>
  <c r="O65" i="6"/>
  <c r="N65" i="6"/>
  <c r="M65" i="6"/>
  <c r="L65" i="6"/>
  <c r="K65" i="6"/>
  <c r="J65" i="6"/>
  <c r="Q64" i="6"/>
  <c r="S64" i="6" s="1"/>
  <c r="P64" i="6"/>
  <c r="O64" i="6"/>
  <c r="N64" i="6"/>
  <c r="M64" i="6"/>
  <c r="L64" i="6"/>
  <c r="K64" i="6"/>
  <c r="J64" i="6"/>
  <c r="Q63" i="6"/>
  <c r="S63" i="6" s="1"/>
  <c r="P63" i="6"/>
  <c r="O63" i="6"/>
  <c r="N63" i="6"/>
  <c r="M63" i="6"/>
  <c r="L63" i="6"/>
  <c r="K63" i="6"/>
  <c r="J63" i="6"/>
  <c r="Q61" i="6"/>
  <c r="S61" i="6" s="1"/>
  <c r="P61" i="6"/>
  <c r="O61" i="6"/>
  <c r="N61" i="6"/>
  <c r="M61" i="6"/>
  <c r="L61" i="6"/>
  <c r="K61" i="6"/>
  <c r="J61" i="6"/>
  <c r="Q60" i="6"/>
  <c r="S60" i="6" s="1"/>
  <c r="P60" i="6"/>
  <c r="O60" i="6"/>
  <c r="N60" i="6"/>
  <c r="M60" i="6"/>
  <c r="L60" i="6"/>
  <c r="K60" i="6"/>
  <c r="J60" i="6"/>
  <c r="Q59" i="6"/>
  <c r="S59" i="6" s="1"/>
  <c r="P59" i="6"/>
  <c r="O59" i="6"/>
  <c r="N59" i="6"/>
  <c r="M59" i="6"/>
  <c r="L59" i="6"/>
  <c r="K59" i="6"/>
  <c r="J59" i="6"/>
  <c r="Q57" i="6"/>
  <c r="S57" i="6" s="1"/>
  <c r="P57" i="6"/>
  <c r="O57" i="6"/>
  <c r="N57" i="6"/>
  <c r="M57" i="6"/>
  <c r="L57" i="6"/>
  <c r="K57" i="6"/>
  <c r="J57" i="6"/>
  <c r="Q56" i="6"/>
  <c r="S56" i="6" s="1"/>
  <c r="P56" i="6"/>
  <c r="O56" i="6"/>
  <c r="N56" i="6"/>
  <c r="M56" i="6"/>
  <c r="L56" i="6"/>
  <c r="K56" i="6"/>
  <c r="J56" i="6"/>
  <c r="Q55" i="6"/>
  <c r="S55" i="6" s="1"/>
  <c r="P55" i="6"/>
  <c r="O55" i="6"/>
  <c r="N55" i="6"/>
  <c r="M55" i="6"/>
  <c r="L55" i="6"/>
  <c r="K55" i="6"/>
  <c r="J55" i="6"/>
  <c r="Q54" i="6"/>
  <c r="S54" i="6" s="1"/>
  <c r="P54" i="6"/>
  <c r="O54" i="6"/>
  <c r="N54" i="6"/>
  <c r="M54" i="6"/>
  <c r="L54" i="6"/>
  <c r="K54" i="6"/>
  <c r="J54" i="6"/>
  <c r="Q53" i="6"/>
  <c r="S53" i="6" s="1"/>
  <c r="P53" i="6"/>
  <c r="O53" i="6"/>
  <c r="N53" i="6"/>
  <c r="M53" i="6"/>
  <c r="L53" i="6"/>
  <c r="K53" i="6"/>
  <c r="J53" i="6"/>
  <c r="Q51" i="6"/>
  <c r="S51" i="6" s="1"/>
  <c r="P51" i="6"/>
  <c r="O51" i="6"/>
  <c r="N51" i="6"/>
  <c r="M51" i="6"/>
  <c r="L51" i="6"/>
  <c r="K51" i="6"/>
  <c r="J51" i="6"/>
  <c r="Q50" i="6"/>
  <c r="S50" i="6" s="1"/>
  <c r="P50" i="6"/>
  <c r="O50" i="6"/>
  <c r="N50" i="6"/>
  <c r="M50" i="6"/>
  <c r="L50" i="6"/>
  <c r="K50" i="6"/>
  <c r="J50" i="6"/>
  <c r="Q49" i="6"/>
  <c r="S49" i="6" s="1"/>
  <c r="P49" i="6"/>
  <c r="O49" i="6"/>
  <c r="N49" i="6"/>
  <c r="M49" i="6"/>
  <c r="L49" i="6"/>
  <c r="K49" i="6"/>
  <c r="J49" i="6"/>
  <c r="Q48" i="6"/>
  <c r="S48" i="6" s="1"/>
  <c r="P48" i="6"/>
  <c r="O48" i="6"/>
  <c r="N48" i="6"/>
  <c r="M48" i="6"/>
  <c r="L48" i="6"/>
  <c r="K48" i="6"/>
  <c r="J48" i="6"/>
  <c r="Q47" i="6"/>
  <c r="S47" i="6" s="1"/>
  <c r="P47" i="6"/>
  <c r="O47" i="6"/>
  <c r="N47" i="6"/>
  <c r="M47" i="6"/>
  <c r="L47" i="6"/>
  <c r="K47" i="6"/>
  <c r="J47" i="6"/>
  <c r="Q46" i="6"/>
  <c r="S46" i="6" s="1"/>
  <c r="P46" i="6"/>
  <c r="O46" i="6"/>
  <c r="N46" i="6"/>
  <c r="M46" i="6"/>
  <c r="L46" i="6"/>
  <c r="K46" i="6"/>
  <c r="J46" i="6"/>
  <c r="Q42" i="6"/>
  <c r="S42" i="6" s="1"/>
  <c r="P42" i="6"/>
  <c r="O42" i="6"/>
  <c r="N42" i="6"/>
  <c r="M42" i="6"/>
  <c r="L42" i="6"/>
  <c r="K42" i="6"/>
  <c r="J42" i="6"/>
  <c r="Q41" i="6"/>
  <c r="S41" i="6" s="1"/>
  <c r="P41" i="6"/>
  <c r="O41" i="6"/>
  <c r="N41" i="6"/>
  <c r="M41" i="6"/>
  <c r="L41" i="6"/>
  <c r="K41" i="6"/>
  <c r="J41" i="6"/>
  <c r="Q40" i="6"/>
  <c r="S40" i="6" s="1"/>
  <c r="P40" i="6"/>
  <c r="O40" i="6"/>
  <c r="N40" i="6"/>
  <c r="M40" i="6"/>
  <c r="L40" i="6"/>
  <c r="K40" i="6"/>
  <c r="J40" i="6"/>
  <c r="Q39" i="6"/>
  <c r="S39" i="6" s="1"/>
  <c r="P39" i="6"/>
  <c r="O39" i="6"/>
  <c r="N39" i="6"/>
  <c r="M39" i="6"/>
  <c r="L39" i="6"/>
  <c r="K39" i="6"/>
  <c r="J39" i="6"/>
  <c r="Q38" i="6"/>
  <c r="S38" i="6" s="1"/>
  <c r="P38" i="6"/>
  <c r="O38" i="6"/>
  <c r="N38" i="6"/>
  <c r="M38" i="6"/>
  <c r="L38" i="6"/>
  <c r="K38" i="6"/>
  <c r="J38" i="6"/>
  <c r="Q37" i="6"/>
  <c r="S37" i="6" s="1"/>
  <c r="P37" i="6"/>
  <c r="O37" i="6"/>
  <c r="N37" i="6"/>
  <c r="M37" i="6"/>
  <c r="L37" i="6"/>
  <c r="K37" i="6"/>
  <c r="J37" i="6"/>
  <c r="Q36" i="6"/>
  <c r="S36" i="6" s="1"/>
  <c r="P36" i="6"/>
  <c r="O36" i="6"/>
  <c r="N36" i="6"/>
  <c r="M36" i="6"/>
  <c r="L36" i="6"/>
  <c r="K36" i="6"/>
  <c r="J36" i="6"/>
  <c r="Q35" i="6"/>
  <c r="S35" i="6" s="1"/>
  <c r="P35" i="6"/>
  <c r="O35" i="6"/>
  <c r="N35" i="6"/>
  <c r="M35" i="6"/>
  <c r="L35" i="6"/>
  <c r="K35" i="6"/>
  <c r="J35" i="6"/>
  <c r="Q34" i="6"/>
  <c r="S34" i="6" s="1"/>
  <c r="P34" i="6"/>
  <c r="O34" i="6"/>
  <c r="N34" i="6"/>
  <c r="M34" i="6"/>
  <c r="L34" i="6"/>
  <c r="K34" i="6"/>
  <c r="J34" i="6"/>
  <c r="Q33" i="6"/>
  <c r="S33" i="6" s="1"/>
  <c r="P33" i="6"/>
  <c r="O33" i="6"/>
  <c r="N33" i="6"/>
  <c r="M33" i="6"/>
  <c r="L33" i="6"/>
  <c r="K33" i="6"/>
  <c r="J33" i="6"/>
  <c r="Q32" i="6"/>
  <c r="S32" i="6" s="1"/>
  <c r="P32" i="6"/>
  <c r="O32" i="6"/>
  <c r="N32" i="6"/>
  <c r="M32" i="6"/>
  <c r="L32" i="6"/>
  <c r="K32" i="6"/>
  <c r="J32" i="6"/>
  <c r="Q28" i="6"/>
  <c r="S28" i="6" s="1"/>
  <c r="P28" i="6"/>
  <c r="O28" i="6"/>
  <c r="N28" i="6"/>
  <c r="M28" i="6"/>
  <c r="L28" i="6"/>
  <c r="K28" i="6"/>
  <c r="J28" i="6"/>
  <c r="Q27" i="6"/>
  <c r="S27" i="6" s="1"/>
  <c r="P27" i="6"/>
  <c r="O27" i="6"/>
  <c r="N27" i="6"/>
  <c r="M27" i="6"/>
  <c r="L27" i="6"/>
  <c r="K27" i="6"/>
  <c r="J27" i="6"/>
  <c r="Q26" i="6"/>
  <c r="S26" i="6" s="1"/>
  <c r="P26" i="6"/>
  <c r="O26" i="6"/>
  <c r="N26" i="6"/>
  <c r="M26" i="6"/>
  <c r="L26" i="6"/>
  <c r="K26" i="6"/>
  <c r="J26" i="6"/>
  <c r="Q23" i="6"/>
  <c r="P23" i="6"/>
  <c r="O23" i="6"/>
  <c r="P112" i="6" s="1"/>
  <c r="N23" i="6"/>
  <c r="M23" i="6"/>
  <c r="N112" i="6" s="1"/>
  <c r="L23" i="6"/>
  <c r="M112" i="6" s="1"/>
  <c r="K23" i="6"/>
  <c r="L112" i="6" s="1"/>
  <c r="J23" i="6"/>
  <c r="K112" i="6" s="1"/>
  <c r="Q22" i="6"/>
  <c r="P22" i="6"/>
  <c r="O22" i="6"/>
  <c r="N22" i="6"/>
  <c r="M22" i="6"/>
  <c r="L22" i="6"/>
  <c r="K22" i="6"/>
  <c r="J22" i="6"/>
  <c r="Q21" i="6"/>
  <c r="P21" i="6"/>
  <c r="O21" i="6"/>
  <c r="N21" i="6"/>
  <c r="M21" i="6"/>
  <c r="L21" i="6"/>
  <c r="K21" i="6"/>
  <c r="J21" i="6"/>
  <c r="Q20" i="6"/>
  <c r="P20" i="6"/>
  <c r="O20" i="6"/>
  <c r="N20" i="6"/>
  <c r="S20" i="6" s="1"/>
  <c r="M20" i="6"/>
  <c r="L20" i="6"/>
  <c r="K20" i="6"/>
  <c r="J20" i="6"/>
  <c r="Q19" i="6"/>
  <c r="P19" i="6"/>
  <c r="O19" i="6"/>
  <c r="P109" i="6" s="1"/>
  <c r="N19" i="6"/>
  <c r="M19" i="6"/>
  <c r="L19" i="6"/>
  <c r="M109" i="6" s="1"/>
  <c r="K19" i="6"/>
  <c r="L109" i="6" s="1"/>
  <c r="J19" i="6"/>
  <c r="K109" i="6" s="1"/>
  <c r="S18" i="6"/>
  <c r="Q17" i="6"/>
  <c r="P17" i="6"/>
  <c r="O17" i="6"/>
  <c r="N17" i="6"/>
  <c r="M17" i="6"/>
  <c r="L17" i="6"/>
  <c r="K17" i="6"/>
  <c r="J17" i="6"/>
  <c r="Q16" i="6"/>
  <c r="P16" i="6"/>
  <c r="O16" i="6"/>
  <c r="N16" i="6"/>
  <c r="S16" i="6" s="1"/>
  <c r="M16" i="6"/>
  <c r="L16" i="6"/>
  <c r="K16" i="6"/>
  <c r="J16" i="6"/>
  <c r="Q14" i="6"/>
  <c r="P14" i="6"/>
  <c r="O14" i="6"/>
  <c r="N14" i="6"/>
  <c r="M14" i="6"/>
  <c r="L14" i="6"/>
  <c r="K14" i="6"/>
  <c r="J14" i="6"/>
  <c r="Q12" i="6"/>
  <c r="P12" i="6"/>
  <c r="O12" i="6"/>
  <c r="N12" i="6"/>
  <c r="M12" i="6"/>
  <c r="L12" i="6"/>
  <c r="K12" i="6"/>
  <c r="J12" i="6"/>
  <c r="Q11" i="6"/>
  <c r="P11" i="6"/>
  <c r="O11" i="6"/>
  <c r="N11" i="6"/>
  <c r="M11" i="6"/>
  <c r="L11" i="6"/>
  <c r="K11" i="6"/>
  <c r="J11" i="6"/>
  <c r="Q10" i="6"/>
  <c r="P10" i="6"/>
  <c r="O10" i="6"/>
  <c r="N10" i="6"/>
  <c r="M10" i="6"/>
  <c r="L10" i="6"/>
  <c r="K10" i="6"/>
  <c r="J10" i="6"/>
  <c r="Q9" i="6"/>
  <c r="P9" i="6"/>
  <c r="O9" i="6"/>
  <c r="N9" i="6"/>
  <c r="S9" i="6" s="1"/>
  <c r="M9" i="6"/>
  <c r="L9" i="6"/>
  <c r="K9" i="6"/>
  <c r="J9" i="6"/>
  <c r="Q8" i="6"/>
  <c r="P8" i="6"/>
  <c r="O8" i="6"/>
  <c r="N8" i="6"/>
  <c r="M8" i="6"/>
  <c r="L8" i="6"/>
  <c r="K8" i="6"/>
  <c r="J8" i="6"/>
  <c r="Q6" i="6"/>
  <c r="P6" i="6"/>
  <c r="O6" i="6"/>
  <c r="N6" i="6"/>
  <c r="M6" i="6"/>
  <c r="L6" i="6"/>
  <c r="K6" i="6"/>
  <c r="J6" i="6"/>
  <c r="Q5" i="6"/>
  <c r="P5" i="6"/>
  <c r="O5" i="6"/>
  <c r="N5" i="6"/>
  <c r="M5" i="6"/>
  <c r="L5" i="6"/>
  <c r="K5" i="6"/>
  <c r="J5" i="6"/>
  <c r="Q3" i="6"/>
  <c r="P3" i="6"/>
  <c r="O3" i="6"/>
  <c r="N3" i="6"/>
  <c r="M3" i="6"/>
  <c r="L3" i="6"/>
  <c r="K3" i="6"/>
  <c r="J3" i="6"/>
  <c r="Q2" i="6"/>
  <c r="P2" i="6"/>
  <c r="O2" i="6"/>
  <c r="N2" i="6"/>
  <c r="M2" i="6"/>
  <c r="L2" i="6"/>
  <c r="K2" i="6"/>
  <c r="J2" i="6"/>
  <c r="G94" i="6"/>
  <c r="F94" i="6"/>
  <c r="E94" i="6"/>
  <c r="D94" i="6"/>
  <c r="C94" i="6"/>
  <c r="G93" i="6"/>
  <c r="F93" i="6"/>
  <c r="E93" i="6"/>
  <c r="D93" i="6"/>
  <c r="C93" i="6"/>
  <c r="G92" i="6"/>
  <c r="F92" i="6"/>
  <c r="E92" i="6"/>
  <c r="D92" i="6"/>
  <c r="C92" i="6"/>
  <c r="G91" i="6"/>
  <c r="F91" i="6"/>
  <c r="E91" i="6"/>
  <c r="D91" i="6"/>
  <c r="C91" i="6"/>
  <c r="G90" i="6"/>
  <c r="F90" i="6"/>
  <c r="E90" i="6"/>
  <c r="D90" i="6"/>
  <c r="C90" i="6"/>
  <c r="G89" i="6"/>
  <c r="F89" i="6"/>
  <c r="E89" i="6"/>
  <c r="D89" i="6"/>
  <c r="C89" i="6"/>
  <c r="G88" i="6"/>
  <c r="F88" i="6"/>
  <c r="E88" i="6"/>
  <c r="D88" i="6"/>
  <c r="C88" i="6"/>
  <c r="G87" i="6"/>
  <c r="F87" i="6"/>
  <c r="E87" i="6"/>
  <c r="D87" i="6"/>
  <c r="C87" i="6"/>
  <c r="G86" i="6"/>
  <c r="F86" i="6"/>
  <c r="E86" i="6"/>
  <c r="D86" i="6"/>
  <c r="C86" i="6"/>
  <c r="G85" i="6"/>
  <c r="F85" i="6"/>
  <c r="E85" i="6"/>
  <c r="D85" i="6"/>
  <c r="C85" i="6"/>
  <c r="G84" i="6"/>
  <c r="F35" i="11" s="1"/>
  <c r="F84" i="6"/>
  <c r="E35" i="11" s="1"/>
  <c r="E84" i="6"/>
  <c r="D35" i="11" s="1"/>
  <c r="D84" i="6"/>
  <c r="C35" i="11" s="1"/>
  <c r="C84" i="6"/>
  <c r="G82" i="6"/>
  <c r="F82" i="6"/>
  <c r="E82" i="6"/>
  <c r="D82" i="6"/>
  <c r="C82" i="6"/>
  <c r="G81" i="6"/>
  <c r="F81" i="6"/>
  <c r="E81" i="6"/>
  <c r="D81" i="6"/>
  <c r="C81" i="6"/>
  <c r="G80" i="6"/>
  <c r="F80" i="6"/>
  <c r="E80" i="6"/>
  <c r="D80" i="6"/>
  <c r="C80" i="6"/>
  <c r="G79" i="6"/>
  <c r="F79" i="6"/>
  <c r="E79" i="6"/>
  <c r="D79" i="6"/>
  <c r="C79" i="6"/>
  <c r="G78" i="6"/>
  <c r="F78" i="6"/>
  <c r="E78" i="6"/>
  <c r="D78" i="6"/>
  <c r="C78" i="6"/>
  <c r="G77" i="6"/>
  <c r="F77" i="6"/>
  <c r="E77" i="6"/>
  <c r="D77" i="6"/>
  <c r="C77" i="6"/>
  <c r="G76" i="6"/>
  <c r="F76" i="6"/>
  <c r="E76" i="6"/>
  <c r="D76" i="6"/>
  <c r="C76" i="6"/>
  <c r="G75" i="6"/>
  <c r="F75" i="6"/>
  <c r="E75" i="6"/>
  <c r="D75" i="6"/>
  <c r="C75" i="6"/>
  <c r="G74" i="6"/>
  <c r="F74" i="6"/>
  <c r="E74" i="6"/>
  <c r="D74" i="6"/>
  <c r="C74" i="6"/>
  <c r="G73" i="6"/>
  <c r="F42" i="11" s="1"/>
  <c r="F27" i="12" s="1"/>
  <c r="F73" i="6"/>
  <c r="E42" i="11" s="1"/>
  <c r="E27" i="12" s="1"/>
  <c r="E73" i="6"/>
  <c r="D42" i="11" s="1"/>
  <c r="D27" i="12" s="1"/>
  <c r="D73" i="6"/>
  <c r="C42" i="11" s="1"/>
  <c r="C27" i="12" s="1"/>
  <c r="C73" i="6"/>
  <c r="G69" i="6"/>
  <c r="F69" i="6"/>
  <c r="E69" i="6"/>
  <c r="D69" i="6"/>
  <c r="C69" i="6"/>
  <c r="G68" i="6"/>
  <c r="F68" i="6"/>
  <c r="E68" i="6"/>
  <c r="D68" i="6"/>
  <c r="C68" i="6"/>
  <c r="G67" i="6"/>
  <c r="F67" i="6"/>
  <c r="E67" i="6"/>
  <c r="D67" i="6"/>
  <c r="C67" i="6"/>
  <c r="G66" i="6"/>
  <c r="F66" i="6"/>
  <c r="E66" i="6"/>
  <c r="D66" i="6"/>
  <c r="C66" i="6"/>
  <c r="G65" i="6"/>
  <c r="F65" i="6"/>
  <c r="E65" i="6"/>
  <c r="D65" i="6"/>
  <c r="C65" i="6"/>
  <c r="G64" i="6"/>
  <c r="F64" i="6"/>
  <c r="E64" i="6"/>
  <c r="D64" i="6"/>
  <c r="C64" i="6"/>
  <c r="G63" i="6"/>
  <c r="F63" i="6"/>
  <c r="E63" i="6"/>
  <c r="D63" i="6"/>
  <c r="C63" i="6"/>
  <c r="G61" i="6"/>
  <c r="F61" i="6"/>
  <c r="E61" i="6"/>
  <c r="D61" i="6"/>
  <c r="C61" i="6"/>
  <c r="G60" i="6"/>
  <c r="F60" i="6"/>
  <c r="E60" i="6"/>
  <c r="D60" i="6"/>
  <c r="C60" i="6"/>
  <c r="G59" i="6"/>
  <c r="F59" i="6"/>
  <c r="E59" i="6"/>
  <c r="D59" i="6"/>
  <c r="C59" i="6"/>
  <c r="G57" i="6"/>
  <c r="F57" i="6"/>
  <c r="E57" i="6"/>
  <c r="D57" i="6"/>
  <c r="C57" i="6"/>
  <c r="G56" i="6"/>
  <c r="F56" i="6"/>
  <c r="E56" i="6"/>
  <c r="D56" i="6"/>
  <c r="C56" i="6"/>
  <c r="G55" i="6"/>
  <c r="F55" i="6"/>
  <c r="E55" i="6"/>
  <c r="D55" i="6"/>
  <c r="C55" i="6"/>
  <c r="G54" i="6"/>
  <c r="F54" i="6"/>
  <c r="E54" i="6"/>
  <c r="D54" i="6"/>
  <c r="C54" i="6"/>
  <c r="G53" i="6"/>
  <c r="F53" i="6"/>
  <c r="E53" i="6"/>
  <c r="D53" i="6"/>
  <c r="C53" i="6"/>
  <c r="G51" i="6"/>
  <c r="F51" i="6"/>
  <c r="E51" i="6"/>
  <c r="D51" i="6"/>
  <c r="C51" i="6"/>
  <c r="G50" i="6"/>
  <c r="F15" i="11" s="1"/>
  <c r="F50" i="6"/>
  <c r="E15" i="11" s="1"/>
  <c r="E50" i="6"/>
  <c r="D15" i="11" s="1"/>
  <c r="D50" i="6"/>
  <c r="C15" i="11" s="1"/>
  <c r="C50" i="6"/>
  <c r="G49" i="6"/>
  <c r="F49" i="6"/>
  <c r="E49" i="6"/>
  <c r="D49" i="6"/>
  <c r="C49" i="6"/>
  <c r="G48" i="6"/>
  <c r="F30" i="16" s="1"/>
  <c r="F48" i="6"/>
  <c r="E30" i="16" s="1"/>
  <c r="E48" i="6"/>
  <c r="D30" i="16" s="1"/>
  <c r="D48" i="6"/>
  <c r="C48" i="6"/>
  <c r="G47" i="6"/>
  <c r="F47" i="6"/>
  <c r="E47" i="6"/>
  <c r="D47" i="6"/>
  <c r="C47" i="6"/>
  <c r="G46" i="6"/>
  <c r="F46" i="6"/>
  <c r="E46" i="6"/>
  <c r="D46" i="6"/>
  <c r="C46" i="6"/>
  <c r="G42" i="6"/>
  <c r="F42" i="6"/>
  <c r="E42" i="6"/>
  <c r="D42" i="6"/>
  <c r="C42" i="6"/>
  <c r="G41" i="6"/>
  <c r="F41" i="6"/>
  <c r="E41" i="6"/>
  <c r="D41" i="6"/>
  <c r="C41" i="6"/>
  <c r="G40" i="6"/>
  <c r="F40" i="6"/>
  <c r="E40" i="6"/>
  <c r="D40" i="6"/>
  <c r="C40" i="6"/>
  <c r="G39" i="6"/>
  <c r="F39" i="6"/>
  <c r="E39" i="6"/>
  <c r="D39" i="6"/>
  <c r="C39" i="6"/>
  <c r="G38" i="6"/>
  <c r="F38" i="6"/>
  <c r="E38" i="6"/>
  <c r="D38" i="6"/>
  <c r="C38" i="6"/>
  <c r="G37" i="6"/>
  <c r="F37" i="6"/>
  <c r="E37" i="6"/>
  <c r="D37" i="6"/>
  <c r="C37" i="6"/>
  <c r="G36" i="6"/>
  <c r="F36" i="6"/>
  <c r="E36" i="6"/>
  <c r="D36" i="6"/>
  <c r="C36" i="6"/>
  <c r="G35" i="6"/>
  <c r="F35" i="6"/>
  <c r="E35" i="6"/>
  <c r="D35" i="6"/>
  <c r="C35" i="6"/>
  <c r="F34" i="6"/>
  <c r="E34" i="6"/>
  <c r="D34" i="6"/>
  <c r="C34" i="6"/>
  <c r="F33" i="6"/>
  <c r="E33" i="6"/>
  <c r="D33" i="6"/>
  <c r="C33" i="6"/>
  <c r="F32" i="6"/>
  <c r="E32" i="6"/>
  <c r="D32" i="6"/>
  <c r="C32" i="6"/>
  <c r="G28" i="6"/>
  <c r="F13" i="11" s="1"/>
  <c r="F28" i="6"/>
  <c r="E13" i="11" s="1"/>
  <c r="E28" i="6"/>
  <c r="D13" i="11" s="1"/>
  <c r="D28" i="6"/>
  <c r="C13" i="11" s="1"/>
  <c r="C28" i="6"/>
  <c r="G27" i="6"/>
  <c r="F27" i="6"/>
  <c r="E27" i="6"/>
  <c r="D27" i="6"/>
  <c r="C27" i="6"/>
  <c r="G26" i="6"/>
  <c r="F31" i="16" s="1"/>
  <c r="F26" i="6"/>
  <c r="E31" i="16" s="1"/>
  <c r="E26" i="6"/>
  <c r="D31" i="16" s="1"/>
  <c r="D26" i="6"/>
  <c r="C31" i="16" s="1"/>
  <c r="C26" i="6"/>
  <c r="G23" i="6"/>
  <c r="F23" i="6"/>
  <c r="G112" i="6" s="1"/>
  <c r="E23" i="6"/>
  <c r="F112" i="6" s="1"/>
  <c r="D23" i="6"/>
  <c r="E112" i="6" s="1"/>
  <c r="C23" i="6"/>
  <c r="D112" i="6" s="1"/>
  <c r="G22" i="6"/>
  <c r="F18" i="16" s="1"/>
  <c r="F22" i="6"/>
  <c r="E18" i="16" s="1"/>
  <c r="E22" i="6"/>
  <c r="D18" i="16" s="1"/>
  <c r="D22" i="6"/>
  <c r="C18" i="16" s="1"/>
  <c r="C22" i="6"/>
  <c r="D111" i="6" s="1"/>
  <c r="G21" i="6"/>
  <c r="F21" i="6"/>
  <c r="E21" i="6"/>
  <c r="D21" i="6"/>
  <c r="C21" i="6"/>
  <c r="G20" i="6"/>
  <c r="F20" i="6"/>
  <c r="E20" i="6"/>
  <c r="D20" i="6"/>
  <c r="C20" i="6"/>
  <c r="G19" i="6"/>
  <c r="F19" i="6"/>
  <c r="E19" i="6"/>
  <c r="F109" i="6" s="1"/>
  <c r="D19" i="6"/>
  <c r="E109" i="6" s="1"/>
  <c r="C19" i="6"/>
  <c r="D109" i="6" s="1"/>
  <c r="G17" i="6"/>
  <c r="F17" i="6"/>
  <c r="E17" i="6"/>
  <c r="D17" i="6"/>
  <c r="C17" i="6"/>
  <c r="G16" i="6"/>
  <c r="F16" i="6"/>
  <c r="E16" i="6"/>
  <c r="D16" i="6"/>
  <c r="C16" i="6"/>
  <c r="G14" i="6"/>
  <c r="F14" i="6"/>
  <c r="E14" i="6"/>
  <c r="D14" i="6"/>
  <c r="C14" i="6"/>
  <c r="G12" i="6"/>
  <c r="F12" i="6"/>
  <c r="E12" i="6"/>
  <c r="D12" i="6"/>
  <c r="C12" i="6"/>
  <c r="G11" i="6"/>
  <c r="F11" i="6"/>
  <c r="E11" i="6"/>
  <c r="D11" i="6"/>
  <c r="C11" i="6"/>
  <c r="G10" i="6"/>
  <c r="F10" i="6"/>
  <c r="E10" i="6"/>
  <c r="D10" i="6"/>
  <c r="C10" i="6"/>
  <c r="G9" i="6"/>
  <c r="F9" i="6"/>
  <c r="E9" i="6"/>
  <c r="D9" i="6"/>
  <c r="C9" i="6"/>
  <c r="G8" i="6"/>
  <c r="F8" i="6"/>
  <c r="E8" i="6"/>
  <c r="D8" i="6"/>
  <c r="C8" i="6"/>
  <c r="G6" i="6"/>
  <c r="F6" i="6"/>
  <c r="E6" i="6"/>
  <c r="D6" i="6"/>
  <c r="C6" i="6"/>
  <c r="G5" i="6"/>
  <c r="F5" i="6"/>
  <c r="E5" i="6"/>
  <c r="D5" i="6"/>
  <c r="C5" i="6"/>
  <c r="G2" i="6"/>
  <c r="F2" i="6"/>
  <c r="E2" i="6"/>
  <c r="D2" i="6"/>
  <c r="C2" i="6"/>
  <c r="D174" i="1"/>
  <c r="C26" i="9" s="1"/>
  <c r="E174" i="1"/>
  <c r="D26" i="9" s="1"/>
  <c r="D27" i="9" s="1"/>
  <c r="F174" i="1"/>
  <c r="E26" i="9" s="1"/>
  <c r="E27" i="9" s="1"/>
  <c r="G174" i="1"/>
  <c r="F26" i="9" s="1"/>
  <c r="F27" i="9" s="1"/>
  <c r="C174" i="1"/>
  <c r="I185" i="3" l="1"/>
  <c r="I188" i="3" s="1"/>
  <c r="I184" i="3"/>
  <c r="H185" i="3"/>
  <c r="H188" i="3" s="1"/>
  <c r="H184" i="3"/>
  <c r="G185" i="3"/>
  <c r="G188" i="3" s="1"/>
  <c r="G184" i="3"/>
  <c r="F185" i="3"/>
  <c r="F188" i="3" s="1"/>
  <c r="F184" i="3"/>
  <c r="E185" i="3"/>
  <c r="E188" i="3" s="1"/>
  <c r="E184" i="3"/>
  <c r="D185" i="3"/>
  <c r="D188" i="3" s="1"/>
  <c r="D184" i="3"/>
  <c r="C185" i="3"/>
  <c r="C188" i="3" s="1"/>
  <c r="C184" i="3"/>
  <c r="H201" i="1"/>
  <c r="G201" i="1"/>
  <c r="F201" i="1"/>
  <c r="E201" i="1"/>
  <c r="D201" i="1"/>
  <c r="C201" i="1"/>
  <c r="C202" i="1" s="1"/>
  <c r="P15" i="6"/>
  <c r="N15" i="6"/>
  <c r="M15" i="6"/>
  <c r="L15" i="6"/>
  <c r="K15" i="6"/>
  <c r="J15" i="6"/>
  <c r="W5" i="10"/>
  <c r="Z12" i="9"/>
  <c r="Z19" i="9" s="1"/>
  <c r="V5" i="10"/>
  <c r="Y12" i="9"/>
  <c r="Y19" i="9" s="1"/>
  <c r="U5" i="10"/>
  <c r="X12" i="9"/>
  <c r="X19" i="9" s="1"/>
  <c r="E31" i="9"/>
  <c r="C30" i="16"/>
  <c r="G15" i="12"/>
  <c r="G17" i="12" s="1"/>
  <c r="F15" i="12"/>
  <c r="F17" i="12" s="1"/>
  <c r="E15" i="12"/>
  <c r="E17" i="12" s="1"/>
  <c r="D15" i="12"/>
  <c r="D17" i="12" s="1"/>
  <c r="C15" i="12"/>
  <c r="C17" i="12" s="1"/>
  <c r="Y25" i="9"/>
  <c r="X25" i="9"/>
  <c r="W25" i="9"/>
  <c r="T25" i="9"/>
  <c r="Y21" i="9"/>
  <c r="W21" i="9"/>
  <c r="V21" i="9"/>
  <c r="T21" i="9"/>
  <c r="V27" i="9"/>
  <c r="T27" i="9"/>
  <c r="T6" i="10"/>
  <c r="W16" i="9"/>
  <c r="U25" i="9"/>
  <c r="U21" i="9"/>
  <c r="V25" i="9"/>
  <c r="Y29" i="9"/>
  <c r="W29" i="9"/>
  <c r="U29" i="9"/>
  <c r="T29" i="9"/>
  <c r="Y27" i="9"/>
  <c r="U27" i="9"/>
  <c r="N181" i="3"/>
  <c r="J186" i="3"/>
  <c r="N186" i="3" s="1"/>
  <c r="X29" i="9"/>
  <c r="X27" i="9"/>
  <c r="AA24" i="9"/>
  <c r="Z25" i="9"/>
  <c r="Z21" i="9"/>
  <c r="AA20" i="9"/>
  <c r="AA7" i="9" s="1"/>
  <c r="AE20" i="9"/>
  <c r="X21" i="9"/>
  <c r="W25" i="10"/>
  <c r="W26" i="10"/>
  <c r="W27" i="10"/>
  <c r="V25" i="10"/>
  <c r="V26" i="10"/>
  <c r="V27" i="10"/>
  <c r="U25" i="10"/>
  <c r="U26" i="10"/>
  <c r="U27" i="10"/>
  <c r="T25" i="10"/>
  <c r="T26" i="10"/>
  <c r="T27" i="10"/>
  <c r="S25" i="10"/>
  <c r="S26" i="10"/>
  <c r="S27" i="10"/>
  <c r="R25" i="10"/>
  <c r="R26" i="10"/>
  <c r="R27" i="10"/>
  <c r="Q25" i="10"/>
  <c r="Q26" i="10"/>
  <c r="Q27" i="10"/>
  <c r="P25" i="10"/>
  <c r="P26" i="10"/>
  <c r="P27" i="10"/>
  <c r="S12" i="9"/>
  <c r="S19" i="9" s="1"/>
  <c r="P5" i="10"/>
  <c r="C22" i="18"/>
  <c r="C35" i="18" s="1"/>
  <c r="C25" i="15"/>
  <c r="C5" i="14"/>
  <c r="C7" i="14" s="1"/>
  <c r="Z29" i="9"/>
  <c r="AA28" i="9"/>
  <c r="AE28" i="9" s="1"/>
  <c r="Z27" i="9"/>
  <c r="AA26" i="9"/>
  <c r="AE26" i="9" s="1"/>
  <c r="I128" i="3"/>
  <c r="I129" i="3" s="1"/>
  <c r="V17" i="10"/>
  <c r="H128" i="3"/>
  <c r="H129" i="3" s="1"/>
  <c r="U17" i="10"/>
  <c r="G128" i="3"/>
  <c r="G129" i="3" s="1"/>
  <c r="T17" i="10"/>
  <c r="F128" i="3"/>
  <c r="F129" i="3" s="1"/>
  <c r="S17" i="10"/>
  <c r="E128" i="3"/>
  <c r="E129" i="3" s="1"/>
  <c r="R17" i="10"/>
  <c r="D128" i="3"/>
  <c r="D129" i="3" s="1"/>
  <c r="Q17" i="10"/>
  <c r="C128" i="3"/>
  <c r="C129" i="3" s="1"/>
  <c r="P17" i="10"/>
  <c r="C25" i="18"/>
  <c r="C33" i="18" s="1"/>
  <c r="C24" i="18"/>
  <c r="C32" i="18" s="1"/>
  <c r="J185" i="3"/>
  <c r="J188" i="3" s="1"/>
  <c r="N183" i="3"/>
  <c r="N184" i="3" s="1"/>
  <c r="N185" i="3" s="1"/>
  <c r="B27" i="10"/>
  <c r="B13" i="12"/>
  <c r="B26" i="10"/>
  <c r="B12" i="12"/>
  <c r="B25" i="10"/>
  <c r="B11" i="12"/>
  <c r="B23" i="10"/>
  <c r="B9" i="12"/>
  <c r="G8" i="11"/>
  <c r="G7" i="12"/>
  <c r="F25" i="9"/>
  <c r="E25" i="9"/>
  <c r="G29" i="9"/>
  <c r="F29" i="9"/>
  <c r="E29" i="9"/>
  <c r="D25" i="9"/>
  <c r="F21" i="9"/>
  <c r="E21" i="9"/>
  <c r="D21" i="9"/>
  <c r="F45" i="11"/>
  <c r="E45" i="11"/>
  <c r="D45" i="11"/>
  <c r="C45" i="11"/>
  <c r="H112" i="6"/>
  <c r="H111" i="6"/>
  <c r="H110" i="6"/>
  <c r="H109" i="6"/>
  <c r="H108" i="6"/>
  <c r="H105" i="6"/>
  <c r="H104" i="6"/>
  <c r="F7" i="12"/>
  <c r="F8" i="11"/>
  <c r="E7" i="12"/>
  <c r="E8" i="11"/>
  <c r="D7" i="12"/>
  <c r="D8" i="11"/>
  <c r="C7" i="12"/>
  <c r="C8" i="11"/>
  <c r="H24" i="9"/>
  <c r="G25" i="9"/>
  <c r="G21" i="9"/>
  <c r="H20" i="9"/>
  <c r="G44" i="18"/>
  <c r="G7" i="11"/>
  <c r="G20" i="11" s="1"/>
  <c r="G6" i="12"/>
  <c r="G6" i="10"/>
  <c r="G6" i="16"/>
  <c r="F6" i="16"/>
  <c r="F6" i="10"/>
  <c r="F44" i="18"/>
  <c r="F7" i="11"/>
  <c r="F6" i="12"/>
  <c r="F8" i="12" s="1"/>
  <c r="E44" i="18"/>
  <c r="E7" i="11"/>
  <c r="E6" i="12"/>
  <c r="E8" i="12" s="1"/>
  <c r="E6" i="16"/>
  <c r="E6" i="10"/>
  <c r="D6" i="16"/>
  <c r="D6" i="10"/>
  <c r="D6" i="12"/>
  <c r="D8" i="12" s="1"/>
  <c r="D44" i="18"/>
  <c r="D7" i="11"/>
  <c r="D43" i="11" s="1"/>
  <c r="C6" i="12"/>
  <c r="C8" i="12" s="1"/>
  <c r="C44" i="18"/>
  <c r="C7" i="11"/>
  <c r="C43" i="11" s="1"/>
  <c r="C6" i="10"/>
  <c r="C6" i="16"/>
  <c r="H32" i="9"/>
  <c r="I32" i="9" s="1"/>
  <c r="J32" i="9" s="1"/>
  <c r="K32" i="9" s="1"/>
  <c r="L32" i="9" s="1"/>
  <c r="G31" i="9"/>
  <c r="H30" i="9"/>
  <c r="I30" i="9" s="1"/>
  <c r="J30" i="9" s="1"/>
  <c r="K30" i="9" s="1"/>
  <c r="L30" i="9" s="1"/>
  <c r="G27" i="9"/>
  <c r="H26" i="9"/>
  <c r="I26" i="9" s="1"/>
  <c r="J26" i="9" s="1"/>
  <c r="K26" i="9" s="1"/>
  <c r="L26" i="9" s="1"/>
  <c r="G28" i="12"/>
  <c r="G46" i="11"/>
  <c r="G29" i="12"/>
  <c r="G36" i="11"/>
  <c r="G37" i="11" s="1"/>
  <c r="F28" i="12"/>
  <c r="E28" i="12"/>
  <c r="D28" i="12"/>
  <c r="F29" i="12"/>
  <c r="F36" i="11"/>
  <c r="E29" i="12"/>
  <c r="E36" i="11"/>
  <c r="D29" i="12"/>
  <c r="D36" i="11"/>
  <c r="C29" i="12"/>
  <c r="C36" i="11"/>
  <c r="F19" i="16"/>
  <c r="E19" i="16"/>
  <c r="D19" i="16"/>
  <c r="C15" i="18"/>
  <c r="C10" i="17"/>
  <c r="G41" i="18"/>
  <c r="H7" i="18"/>
  <c r="G29" i="16"/>
  <c r="G32" i="16" s="1"/>
  <c r="G28" i="16"/>
  <c r="F29" i="16"/>
  <c r="F32" i="16" s="1"/>
  <c r="F28" i="16"/>
  <c r="E28" i="16"/>
  <c r="E29" i="16"/>
  <c r="E32" i="16" s="1"/>
  <c r="D29" i="16"/>
  <c r="D32" i="16" s="1"/>
  <c r="D28" i="16"/>
  <c r="C28" i="16"/>
  <c r="C29" i="16"/>
  <c r="C32" i="16" s="1"/>
  <c r="H18" i="16"/>
  <c r="I18" i="16" s="1"/>
  <c r="J18" i="16" s="1"/>
  <c r="K18" i="16" s="1"/>
  <c r="L18" i="16" s="1"/>
  <c r="G19" i="16"/>
  <c r="G44" i="11"/>
  <c r="G43" i="11"/>
  <c r="F44" i="11"/>
  <c r="F43" i="11"/>
  <c r="E44" i="11"/>
  <c r="E43" i="11"/>
  <c r="D44" i="11"/>
  <c r="V24" i="10"/>
  <c r="R24" i="10"/>
  <c r="V23" i="10"/>
  <c r="Q23" i="10"/>
  <c r="P22" i="10"/>
  <c r="S23" i="10"/>
  <c r="P23" i="10"/>
  <c r="W22" i="10"/>
  <c r="W24" i="10"/>
  <c r="P24" i="10"/>
  <c r="V22" i="10"/>
  <c r="S22" i="10"/>
  <c r="Q22" i="10"/>
  <c r="S24" i="10"/>
  <c r="Q24" i="10"/>
  <c r="W23" i="10"/>
  <c r="R23" i="10"/>
  <c r="R22" i="10"/>
  <c r="U24" i="10"/>
  <c r="U23" i="10"/>
  <c r="U22" i="10"/>
  <c r="W10" i="10"/>
  <c r="W21" i="10"/>
  <c r="V10" i="10"/>
  <c r="V21" i="10"/>
  <c r="U21" i="10"/>
  <c r="U10" i="10"/>
  <c r="T10" i="10"/>
  <c r="T21" i="10"/>
  <c r="S10" i="10"/>
  <c r="S21" i="10"/>
  <c r="R10" i="10"/>
  <c r="R21" i="10"/>
  <c r="Q10" i="10"/>
  <c r="Q21" i="10"/>
  <c r="T13" i="9"/>
  <c r="Z16" i="9"/>
  <c r="Y16" i="9"/>
  <c r="V16" i="9"/>
  <c r="U16" i="9"/>
  <c r="T16" i="9"/>
  <c r="G16" i="9"/>
  <c r="F16" i="9"/>
  <c r="E16" i="9"/>
  <c r="D16" i="9"/>
  <c r="W15" i="9"/>
  <c r="U15" i="9"/>
  <c r="T15" i="9"/>
  <c r="F15" i="9"/>
  <c r="D15" i="9"/>
  <c r="U14" i="9"/>
  <c r="F14" i="9"/>
  <c r="E14" i="9"/>
  <c r="D14" i="9"/>
  <c r="V13" i="9"/>
  <c r="U13" i="9"/>
  <c r="V15" i="9"/>
  <c r="E15" i="9"/>
  <c r="W14" i="9"/>
  <c r="V14" i="9"/>
  <c r="T14" i="9"/>
  <c r="Y13" i="9"/>
  <c r="F13" i="9"/>
  <c r="E13" i="9"/>
  <c r="X16" i="9"/>
  <c r="Z15" i="9"/>
  <c r="X15" i="9"/>
  <c r="G15" i="9"/>
  <c r="Z14" i="9"/>
  <c r="X14" i="9"/>
  <c r="G14" i="9"/>
  <c r="Z13" i="9"/>
  <c r="X13" i="9"/>
  <c r="G13" i="9"/>
  <c r="C10" i="2"/>
  <c r="Q15" i="6"/>
  <c r="S77" i="6"/>
  <c r="S75" i="6"/>
  <c r="S90" i="6"/>
  <c r="O15" i="6"/>
  <c r="S89" i="6"/>
  <c r="S76" i="6"/>
  <c r="S87" i="6"/>
  <c r="S91" i="6"/>
  <c r="S85" i="6"/>
  <c r="N109" i="6"/>
  <c r="S8" i="6"/>
  <c r="S82" i="6"/>
  <c r="S84" i="6"/>
  <c r="C31" i="2"/>
  <c r="H117" i="6"/>
  <c r="H97" i="6"/>
  <c r="H15" i="6"/>
  <c r="H116" i="6"/>
  <c r="H100" i="6"/>
  <c r="H98" i="6"/>
  <c r="H99" i="6" s="1"/>
  <c r="H101" i="6" s="1"/>
  <c r="Q109" i="6"/>
  <c r="Q112" i="6"/>
  <c r="G15" i="6"/>
  <c r="F15" i="6"/>
  <c r="E15" i="6"/>
  <c r="D15" i="6"/>
  <c r="C15" i="6"/>
  <c r="L111" i="6"/>
  <c r="S11" i="6"/>
  <c r="S12" i="6"/>
  <c r="S10" i="6"/>
  <c r="Q111" i="6"/>
  <c r="S17" i="6"/>
  <c r="M111" i="6"/>
  <c r="S79" i="6"/>
  <c r="O111" i="6"/>
  <c r="C11" i="2"/>
  <c r="Q105" i="6"/>
  <c r="M105" i="6"/>
  <c r="L105" i="6"/>
  <c r="K105" i="6"/>
  <c r="Q104" i="6"/>
  <c r="P104" i="6"/>
  <c r="O104" i="6"/>
  <c r="M104" i="6"/>
  <c r="L104" i="6"/>
  <c r="K104" i="6"/>
  <c r="Q117" i="6"/>
  <c r="K111" i="6"/>
  <c r="P111" i="6"/>
  <c r="Q116" i="6"/>
  <c r="P105" i="6"/>
  <c r="O105" i="6"/>
  <c r="G109" i="6"/>
  <c r="C117" i="6"/>
  <c r="F117" i="6"/>
  <c r="G117" i="6"/>
  <c r="E117" i="6"/>
  <c r="D117" i="6"/>
  <c r="G116" i="6"/>
  <c r="F105" i="6"/>
  <c r="G104" i="6"/>
  <c r="F104" i="6"/>
  <c r="E104" i="6"/>
  <c r="D104" i="6"/>
  <c r="S100" i="6"/>
  <c r="C30" i="2"/>
  <c r="O112" i="6"/>
  <c r="N111" i="6"/>
  <c r="S22" i="6"/>
  <c r="P117" i="6"/>
  <c r="Q110" i="6"/>
  <c r="P110" i="6"/>
  <c r="O117" i="6"/>
  <c r="S21" i="6"/>
  <c r="N117" i="6"/>
  <c r="O110" i="6"/>
  <c r="N110" i="6"/>
  <c r="M117" i="6"/>
  <c r="L117" i="6"/>
  <c r="M110" i="6"/>
  <c r="K117" i="6"/>
  <c r="L110" i="6"/>
  <c r="J117" i="6"/>
  <c r="K110" i="6"/>
  <c r="S19" i="6"/>
  <c r="O109" i="6"/>
  <c r="P116" i="6"/>
  <c r="Q108" i="6"/>
  <c r="P108" i="6"/>
  <c r="O116" i="6"/>
  <c r="S14" i="6"/>
  <c r="O108" i="6"/>
  <c r="N116" i="6"/>
  <c r="N108" i="6"/>
  <c r="M116" i="6"/>
  <c r="M108" i="6"/>
  <c r="L116" i="6"/>
  <c r="L108" i="6"/>
  <c r="K116" i="6"/>
  <c r="K108" i="6"/>
  <c r="J116" i="6"/>
  <c r="S6" i="6"/>
  <c r="N105" i="6"/>
  <c r="S5" i="6"/>
  <c r="S98" i="6" s="1"/>
  <c r="N104" i="6"/>
  <c r="G108" i="6"/>
  <c r="F116" i="6"/>
  <c r="F108" i="6"/>
  <c r="E116" i="6"/>
  <c r="E108" i="6"/>
  <c r="D116" i="6"/>
  <c r="D108" i="6"/>
  <c r="C116" i="6"/>
  <c r="F111" i="6"/>
  <c r="E111" i="6"/>
  <c r="D105" i="6"/>
  <c r="G105" i="6"/>
  <c r="G97" i="6"/>
  <c r="E105" i="6"/>
  <c r="G111" i="6"/>
  <c r="G110" i="6"/>
  <c r="F97" i="6"/>
  <c r="F110" i="6"/>
  <c r="E97" i="6"/>
  <c r="E110" i="6"/>
  <c r="D97" i="6"/>
  <c r="D110" i="6"/>
  <c r="C97" i="6"/>
  <c r="G100" i="6"/>
  <c r="G98" i="6"/>
  <c r="F100" i="6"/>
  <c r="F98" i="6"/>
  <c r="E100" i="6"/>
  <c r="E98" i="6"/>
  <c r="D100" i="6"/>
  <c r="D98" i="6"/>
  <c r="C98" i="6"/>
  <c r="C100" i="6"/>
  <c r="F189" i="1"/>
  <c r="E32" i="9" s="1"/>
  <c r="G189" i="1"/>
  <c r="F32" i="9" s="1"/>
  <c r="E189" i="1"/>
  <c r="D32" i="9" s="1"/>
  <c r="C3" i="1"/>
  <c r="P11" i="3"/>
  <c r="P10" i="3"/>
  <c r="J143" i="3"/>
  <c r="J144" i="3" s="1"/>
  <c r="N11" i="3"/>
  <c r="Q11" i="3"/>
  <c r="N10" i="3"/>
  <c r="Q10" i="3"/>
  <c r="C64" i="1"/>
  <c r="D64" i="1"/>
  <c r="E64" i="1"/>
  <c r="F64" i="1"/>
  <c r="G64" i="1"/>
  <c r="C151" i="1"/>
  <c r="D151" i="1"/>
  <c r="C22" i="12" s="1"/>
  <c r="F151" i="1"/>
  <c r="E22" i="12" s="1"/>
  <c r="G151" i="1"/>
  <c r="F22" i="12" s="1"/>
  <c r="E151" i="1"/>
  <c r="D22" i="12" s="1"/>
  <c r="C150" i="1"/>
  <c r="D150" i="1"/>
  <c r="E150" i="1"/>
  <c r="F150" i="1"/>
  <c r="C149" i="1"/>
  <c r="D149" i="1"/>
  <c r="E149" i="1"/>
  <c r="F149" i="1"/>
  <c r="G150" i="1"/>
  <c r="G149" i="1"/>
  <c r="C143" i="1"/>
  <c r="C144" i="1" s="1"/>
  <c r="D143" i="1"/>
  <c r="D144" i="1" s="1"/>
  <c r="E143" i="1"/>
  <c r="E144" i="1" s="1"/>
  <c r="F143" i="1"/>
  <c r="F144" i="1" s="1"/>
  <c r="G143" i="1"/>
  <c r="G144" i="1" s="1"/>
  <c r="G170" i="1"/>
  <c r="G169" i="1"/>
  <c r="G165" i="1"/>
  <c r="G164" i="1"/>
  <c r="G163" i="1"/>
  <c r="G161" i="1"/>
  <c r="G160" i="1"/>
  <c r="G158" i="1"/>
  <c r="G157" i="1"/>
  <c r="G76" i="1"/>
  <c r="J142" i="3"/>
  <c r="P18" i="3"/>
  <c r="J136" i="3"/>
  <c r="J134" i="3"/>
  <c r="J135" i="3" s="1"/>
  <c r="N18" i="3"/>
  <c r="Q18" i="3"/>
  <c r="H144" i="1"/>
  <c r="I144" i="1"/>
  <c r="J144" i="1"/>
  <c r="K144" i="1"/>
  <c r="F142" i="1"/>
  <c r="G142" i="1"/>
  <c r="H142" i="1"/>
  <c r="I142" i="1"/>
  <c r="J142" i="1"/>
  <c r="K142" i="1"/>
  <c r="G136" i="1"/>
  <c r="H136" i="1"/>
  <c r="I136" i="1"/>
  <c r="J136" i="1"/>
  <c r="K136" i="1"/>
  <c r="G134" i="1"/>
  <c r="G135" i="1" s="1"/>
  <c r="H134" i="1"/>
  <c r="H135" i="1" s="1"/>
  <c r="I134" i="1"/>
  <c r="I135" i="1" s="1"/>
  <c r="J134" i="1"/>
  <c r="J135" i="1" s="1"/>
  <c r="K134" i="1"/>
  <c r="K135" i="1" s="1"/>
  <c r="C132" i="1"/>
  <c r="C133" i="1" s="1"/>
  <c r="D132" i="1"/>
  <c r="D133" i="1" s="1"/>
  <c r="E132" i="1"/>
  <c r="E133" i="1" s="1"/>
  <c r="G132" i="1"/>
  <c r="G133" i="1" s="1"/>
  <c r="F132" i="1"/>
  <c r="F133" i="1" s="1"/>
  <c r="F136" i="1"/>
  <c r="F134" i="1"/>
  <c r="F135" i="1" s="1"/>
  <c r="C142" i="1"/>
  <c r="D142" i="1"/>
  <c r="E142" i="1"/>
  <c r="E136" i="1"/>
  <c r="E134" i="1"/>
  <c r="E135" i="1" s="1"/>
  <c r="D136" i="1"/>
  <c r="D134" i="1"/>
  <c r="D135" i="1" s="1"/>
  <c r="C136" i="1"/>
  <c r="C134" i="1"/>
  <c r="C135" i="1" s="1"/>
  <c r="C170" i="1"/>
  <c r="D170" i="1"/>
  <c r="E170" i="1"/>
  <c r="F170" i="1"/>
  <c r="C169" i="1"/>
  <c r="D169" i="1"/>
  <c r="E169" i="1"/>
  <c r="F169" i="1"/>
  <c r="D165" i="1"/>
  <c r="E165" i="1"/>
  <c r="F165" i="1"/>
  <c r="D164" i="1"/>
  <c r="E164" i="1"/>
  <c r="F164" i="1"/>
  <c r="D163" i="1"/>
  <c r="E163" i="1"/>
  <c r="F163" i="1"/>
  <c r="D161" i="1"/>
  <c r="E161" i="1"/>
  <c r="F161" i="1"/>
  <c r="D160" i="1"/>
  <c r="E160" i="1"/>
  <c r="F160" i="1"/>
  <c r="D158" i="1"/>
  <c r="E158" i="1"/>
  <c r="F158" i="1"/>
  <c r="D157" i="1"/>
  <c r="E157" i="1"/>
  <c r="F157" i="1"/>
  <c r="P5" i="3"/>
  <c r="P6" i="3"/>
  <c r="P8" i="3"/>
  <c r="P9" i="3"/>
  <c r="P12" i="3"/>
  <c r="P14" i="3"/>
  <c r="P15" i="3"/>
  <c r="P16" i="3"/>
  <c r="P19" i="3"/>
  <c r="P20" i="3"/>
  <c r="P21" i="3"/>
  <c r="P22" i="3"/>
  <c r="P23" i="3"/>
  <c r="P24" i="3"/>
  <c r="P25" i="3"/>
  <c r="P3" i="3"/>
  <c r="Q5" i="3"/>
  <c r="Q6" i="3"/>
  <c r="Q8" i="3"/>
  <c r="Q9" i="3"/>
  <c r="Q12" i="3"/>
  <c r="Q14" i="3"/>
  <c r="Q15" i="3"/>
  <c r="Q16" i="3"/>
  <c r="Q19" i="3"/>
  <c r="Q20" i="3"/>
  <c r="Q21" i="3"/>
  <c r="Q22" i="3"/>
  <c r="Q23" i="3"/>
  <c r="Q24" i="3"/>
  <c r="Q25" i="3"/>
  <c r="Q3" i="3"/>
  <c r="N23" i="3"/>
  <c r="N22" i="3"/>
  <c r="N15" i="3"/>
  <c r="N16" i="3"/>
  <c r="N19" i="3"/>
  <c r="N20" i="3"/>
  <c r="N21" i="3"/>
  <c r="N8" i="3"/>
  <c r="N9" i="3"/>
  <c r="N12" i="3"/>
  <c r="N14" i="3"/>
  <c r="N6" i="3"/>
  <c r="N5" i="3"/>
  <c r="P72" i="6"/>
  <c r="Q72" i="6"/>
  <c r="J132" i="3"/>
  <c r="J133" i="3" s="1"/>
  <c r="J131" i="3"/>
  <c r="O72" i="6"/>
  <c r="M72" i="6"/>
  <c r="L72" i="6"/>
  <c r="K72" i="6"/>
  <c r="Q62" i="6"/>
  <c r="S62" i="6" s="1"/>
  <c r="P62" i="6"/>
  <c r="O62" i="6"/>
  <c r="N62" i="6"/>
  <c r="M62" i="6"/>
  <c r="L62" i="6"/>
  <c r="K62" i="6"/>
  <c r="J62" i="6"/>
  <c r="Q45" i="6"/>
  <c r="S45" i="6" s="1"/>
  <c r="P45" i="6"/>
  <c r="O45" i="6"/>
  <c r="N45" i="6"/>
  <c r="M45" i="6"/>
  <c r="L45" i="6"/>
  <c r="K45" i="6"/>
  <c r="J45" i="6"/>
  <c r="J13" i="3"/>
  <c r="O7" i="6"/>
  <c r="N7" i="6"/>
  <c r="M7" i="6"/>
  <c r="L7" i="6"/>
  <c r="K7" i="6"/>
  <c r="J7" i="6"/>
  <c r="I139" i="1"/>
  <c r="I140" i="1" s="1"/>
  <c r="J139" i="1"/>
  <c r="J140" i="1" s="1"/>
  <c r="K139" i="1"/>
  <c r="K140" i="1" s="1"/>
  <c r="C139" i="1"/>
  <c r="C140" i="1" s="1"/>
  <c r="D139" i="1"/>
  <c r="D140" i="1" s="1"/>
  <c r="E139" i="1"/>
  <c r="E140" i="1" s="1"/>
  <c r="F139" i="1"/>
  <c r="F140" i="1" s="1"/>
  <c r="G139" i="1"/>
  <c r="G140" i="1" s="1"/>
  <c r="H140" i="1"/>
  <c r="H133" i="1"/>
  <c r="I133" i="1"/>
  <c r="J133" i="1"/>
  <c r="K133" i="1"/>
  <c r="J131" i="1"/>
  <c r="K131" i="1"/>
  <c r="C131" i="1"/>
  <c r="D131" i="1"/>
  <c r="E131" i="1"/>
  <c r="F131" i="1"/>
  <c r="G131" i="1"/>
  <c r="H131" i="1"/>
  <c r="I131" i="1"/>
  <c r="D7" i="1"/>
  <c r="C76" i="1"/>
  <c r="D76" i="1"/>
  <c r="E76" i="1"/>
  <c r="F76" i="1"/>
  <c r="H76" i="1"/>
  <c r="I76" i="1"/>
  <c r="I137" i="1" s="1"/>
  <c r="I138" i="1" s="1"/>
  <c r="J76" i="1"/>
  <c r="J137" i="1" s="1"/>
  <c r="J138" i="1" s="1"/>
  <c r="K76" i="1"/>
  <c r="K137" i="1" s="1"/>
  <c r="K138" i="1" s="1"/>
  <c r="K64" i="1"/>
  <c r="K47" i="1"/>
  <c r="J64" i="1"/>
  <c r="J47" i="1"/>
  <c r="I64" i="1"/>
  <c r="I47" i="1"/>
  <c r="H64" i="1"/>
  <c r="H62" i="6" s="1"/>
  <c r="H47" i="1"/>
  <c r="H45" i="6" s="1"/>
  <c r="F47" i="1"/>
  <c r="F45" i="6" s="1"/>
  <c r="G47" i="1"/>
  <c r="G45" i="6" s="1"/>
  <c r="D47" i="1"/>
  <c r="D45" i="6" s="1"/>
  <c r="E47" i="1"/>
  <c r="E45" i="6" s="1"/>
  <c r="C47" i="1"/>
  <c r="C45" i="6" s="1"/>
  <c r="K13" i="1"/>
  <c r="K128" i="1" s="1"/>
  <c r="K129" i="1" s="1"/>
  <c r="K7" i="1"/>
  <c r="J13" i="1"/>
  <c r="J128" i="1" s="1"/>
  <c r="J129" i="1" s="1"/>
  <c r="J7" i="1"/>
  <c r="I13" i="1"/>
  <c r="I128" i="1" s="1"/>
  <c r="I129" i="1" s="1"/>
  <c r="I7" i="1"/>
  <c r="H13" i="1"/>
  <c r="G17" i="10" s="1"/>
  <c r="G14" i="12" s="1"/>
  <c r="H7" i="1"/>
  <c r="G13" i="1"/>
  <c r="F17" i="10" s="1"/>
  <c r="F14" i="12" s="1"/>
  <c r="G7" i="1"/>
  <c r="F13" i="1"/>
  <c r="E17" i="10" s="1"/>
  <c r="E14" i="12" s="1"/>
  <c r="F7" i="1"/>
  <c r="E13" i="1"/>
  <c r="D17" i="10" s="1"/>
  <c r="D14" i="12" s="1"/>
  <c r="E7" i="1"/>
  <c r="D13" i="1"/>
  <c r="C17" i="10" s="1"/>
  <c r="C14" i="12" s="1"/>
  <c r="C13" i="1"/>
  <c r="C128" i="1" s="1"/>
  <c r="C7" i="1"/>
  <c r="G16" i="12" l="1"/>
  <c r="H202" i="1"/>
  <c r="F16" i="12"/>
  <c r="G202" i="1"/>
  <c r="E16" i="12"/>
  <c r="F202" i="1"/>
  <c r="D16" i="12"/>
  <c r="E202" i="1"/>
  <c r="C16" i="12"/>
  <c r="D202" i="1"/>
  <c r="C204" i="1"/>
  <c r="C205" i="1"/>
  <c r="S15" i="6"/>
  <c r="T23" i="10"/>
  <c r="T22" i="10"/>
  <c r="T24" i="10"/>
  <c r="C8" i="14"/>
  <c r="C17" i="14" s="1"/>
  <c r="C23" i="15"/>
  <c r="C23" i="18"/>
  <c r="C26" i="18" s="1"/>
  <c r="AA6" i="9"/>
  <c r="AA8" i="9"/>
  <c r="AE24" i="9"/>
  <c r="P10" i="10"/>
  <c r="P21" i="10"/>
  <c r="J128" i="3"/>
  <c r="J129" i="3" s="1"/>
  <c r="W17" i="10"/>
  <c r="C16" i="14"/>
  <c r="G21" i="11"/>
  <c r="G22" i="11"/>
  <c r="G8" i="12"/>
  <c r="C28" i="12"/>
  <c r="C44" i="11"/>
  <c r="F7" i="16"/>
  <c r="F33" i="16" s="1"/>
  <c r="H7" i="9"/>
  <c r="H14" i="9" s="1"/>
  <c r="I20" i="9"/>
  <c r="F22" i="11"/>
  <c r="F21" i="11"/>
  <c r="E22" i="11"/>
  <c r="E21" i="11"/>
  <c r="D22" i="11"/>
  <c r="D21" i="11"/>
  <c r="C22" i="11"/>
  <c r="C21" i="11"/>
  <c r="I24" i="9"/>
  <c r="H28" i="9"/>
  <c r="H6" i="9"/>
  <c r="H13" i="9" s="1"/>
  <c r="G25" i="10"/>
  <c r="G26" i="10"/>
  <c r="G27" i="10"/>
  <c r="G22" i="10"/>
  <c r="G23" i="10"/>
  <c r="G24" i="10"/>
  <c r="F25" i="10"/>
  <c r="F26" i="10"/>
  <c r="F27" i="10"/>
  <c r="F22" i="10"/>
  <c r="F23" i="10"/>
  <c r="F24" i="10"/>
  <c r="F42" i="18"/>
  <c r="F34" i="12"/>
  <c r="F35" i="12" s="1"/>
  <c r="E7" i="16"/>
  <c r="E33" i="16" s="1"/>
  <c r="E42" i="18"/>
  <c r="E34" i="12"/>
  <c r="E35" i="12" s="1"/>
  <c r="E25" i="10"/>
  <c r="E26" i="10"/>
  <c r="E27" i="10"/>
  <c r="E23" i="10"/>
  <c r="E22" i="10"/>
  <c r="E24" i="10"/>
  <c r="D25" i="10"/>
  <c r="D26" i="10"/>
  <c r="D27" i="10"/>
  <c r="D22" i="10"/>
  <c r="D23" i="10"/>
  <c r="D24" i="10"/>
  <c r="D7" i="16"/>
  <c r="D33" i="16" s="1"/>
  <c r="D42" i="18"/>
  <c r="D34" i="12"/>
  <c r="D35" i="12" s="1"/>
  <c r="C7" i="16"/>
  <c r="C33" i="16" s="1"/>
  <c r="C42" i="18"/>
  <c r="C49" i="18" s="1"/>
  <c r="C25" i="10"/>
  <c r="C26" i="10"/>
  <c r="C27" i="10"/>
  <c r="C22" i="10"/>
  <c r="C23" i="10"/>
  <c r="C24" i="10"/>
  <c r="G48" i="18"/>
  <c r="G12" i="16"/>
  <c r="F12" i="16"/>
  <c r="F48" i="18"/>
  <c r="E48" i="18"/>
  <c r="E12" i="16"/>
  <c r="D12" i="16"/>
  <c r="D48" i="18"/>
  <c r="F37" i="11"/>
  <c r="E37" i="11"/>
  <c r="D37" i="11"/>
  <c r="F20" i="11"/>
  <c r="F46" i="11"/>
  <c r="E20" i="11"/>
  <c r="E46" i="11"/>
  <c r="D20" i="11"/>
  <c r="D46" i="11"/>
  <c r="C46" i="11"/>
  <c r="C37" i="11"/>
  <c r="C20" i="11"/>
  <c r="G33" i="9"/>
  <c r="F33" i="9"/>
  <c r="H137" i="1"/>
  <c r="H138" i="1" s="1"/>
  <c r="H72" i="6"/>
  <c r="E33" i="9"/>
  <c r="C34" i="12"/>
  <c r="C35" i="12" s="1"/>
  <c r="G45" i="18"/>
  <c r="I7" i="18"/>
  <c r="H41" i="18"/>
  <c r="C41" i="16"/>
  <c r="C50" i="16"/>
  <c r="C58" i="16"/>
  <c r="C12" i="2"/>
  <c r="C32" i="2"/>
  <c r="G99" i="6"/>
  <c r="G101" i="6" s="1"/>
  <c r="F99" i="6"/>
  <c r="F101" i="6" s="1"/>
  <c r="E99" i="6"/>
  <c r="E101" i="6" s="1"/>
  <c r="D99" i="6"/>
  <c r="D101" i="6" s="1"/>
  <c r="C99" i="6"/>
  <c r="C101" i="6" s="1"/>
  <c r="S23" i="6"/>
  <c r="H128" i="1"/>
  <c r="H129" i="1" s="1"/>
  <c r="H13" i="6"/>
  <c r="H168" i="1"/>
  <c r="H7" i="6"/>
  <c r="H115" i="6" s="1"/>
  <c r="H162" i="1"/>
  <c r="G128" i="1"/>
  <c r="G129" i="1" s="1"/>
  <c r="H159" i="1"/>
  <c r="F128" i="1"/>
  <c r="F129" i="1" s="1"/>
  <c r="E128" i="1"/>
  <c r="E129" i="1" s="1"/>
  <c r="D128" i="1"/>
  <c r="D129" i="1" s="1"/>
  <c r="N72" i="6"/>
  <c r="S72" i="6" s="1"/>
  <c r="J72" i="6"/>
  <c r="Q13" i="6"/>
  <c r="P13" i="6"/>
  <c r="Q107" i="6" s="1"/>
  <c r="O13" i="6"/>
  <c r="P107" i="6" s="1"/>
  <c r="N13" i="6"/>
  <c r="M13" i="6"/>
  <c r="N107" i="6" s="1"/>
  <c r="L13" i="6"/>
  <c r="K13" i="6"/>
  <c r="J13" i="6"/>
  <c r="K107" i="6" s="1"/>
  <c r="Q7" i="3"/>
  <c r="Q7" i="6"/>
  <c r="Q115" i="6" s="1"/>
  <c r="P7" i="3"/>
  <c r="P7" i="6"/>
  <c r="O115" i="6"/>
  <c r="O106" i="6"/>
  <c r="N115" i="6"/>
  <c r="N106" i="6"/>
  <c r="M115" i="6"/>
  <c r="L115" i="6"/>
  <c r="M106" i="6"/>
  <c r="K115" i="6"/>
  <c r="L106" i="6"/>
  <c r="K106" i="6"/>
  <c r="J115" i="6"/>
  <c r="C3" i="6"/>
  <c r="C62" i="6"/>
  <c r="D62" i="6"/>
  <c r="E62" i="6"/>
  <c r="F62" i="6"/>
  <c r="G62" i="6"/>
  <c r="G137" i="1"/>
  <c r="G138" i="1" s="1"/>
  <c r="G72" i="6"/>
  <c r="D168" i="1"/>
  <c r="D7" i="6"/>
  <c r="C137" i="1"/>
  <c r="C138" i="1" s="1"/>
  <c r="C72" i="6"/>
  <c r="D137" i="1"/>
  <c r="D138" i="1" s="1"/>
  <c r="D72" i="6"/>
  <c r="E137" i="1"/>
  <c r="E138" i="1" s="1"/>
  <c r="E72" i="6"/>
  <c r="F137" i="1"/>
  <c r="F138" i="1" s="1"/>
  <c r="F72" i="6"/>
  <c r="G13" i="6"/>
  <c r="G168" i="1"/>
  <c r="G7" i="6"/>
  <c r="F13" i="6"/>
  <c r="F7" i="6"/>
  <c r="E13" i="6"/>
  <c r="E168" i="1"/>
  <c r="E7" i="6"/>
  <c r="D13" i="6"/>
  <c r="C129" i="1"/>
  <c r="C13" i="6"/>
  <c r="C168" i="1"/>
  <c r="C7" i="6"/>
  <c r="S97" i="6"/>
  <c r="S99" i="6" s="1"/>
  <c r="S101" i="6" s="1"/>
  <c r="S117" i="6"/>
  <c r="C29" i="2"/>
  <c r="C33" i="2" s="1"/>
  <c r="S116" i="6"/>
  <c r="R11" i="3"/>
  <c r="C15" i="2"/>
  <c r="R10" i="3"/>
  <c r="G159" i="1"/>
  <c r="G162" i="1"/>
  <c r="R18" i="3"/>
  <c r="R19" i="3"/>
  <c r="R23" i="3"/>
  <c r="R6" i="3"/>
  <c r="P13" i="3"/>
  <c r="R24" i="3"/>
  <c r="D162" i="1"/>
  <c r="E162" i="1"/>
  <c r="E159" i="1"/>
  <c r="F168" i="1"/>
  <c r="D159" i="1"/>
  <c r="F159" i="1"/>
  <c r="F162" i="1"/>
  <c r="R15" i="3"/>
  <c r="R20" i="3"/>
  <c r="R14" i="3"/>
  <c r="R25" i="3"/>
  <c r="R21" i="3"/>
  <c r="R12" i="3"/>
  <c r="R9" i="3"/>
  <c r="R5" i="3"/>
  <c r="R22" i="3"/>
  <c r="R16" i="3"/>
  <c r="R8" i="3"/>
  <c r="N25" i="3"/>
  <c r="C14" i="2" s="1"/>
  <c r="Q13" i="3"/>
  <c r="N7" i="3"/>
  <c r="N24" i="3"/>
  <c r="N13" i="3"/>
  <c r="J140" i="3"/>
  <c r="J137" i="3"/>
  <c r="J138" i="3" s="1"/>
  <c r="C20" i="14" l="1"/>
  <c r="H205" i="1"/>
  <c r="H204" i="1"/>
  <c r="G205" i="1"/>
  <c r="G204" i="1"/>
  <c r="F204" i="1"/>
  <c r="F205" i="1"/>
  <c r="E205" i="1"/>
  <c r="E204" i="1"/>
  <c r="D205" i="1"/>
  <c r="D204" i="1"/>
  <c r="N187" i="3"/>
  <c r="N188" i="3"/>
  <c r="M107" i="6"/>
  <c r="C39" i="16"/>
  <c r="C15" i="15"/>
  <c r="C21" i="18"/>
  <c r="C56" i="16"/>
  <c r="C48" i="16"/>
  <c r="G23" i="11"/>
  <c r="G34" i="12"/>
  <c r="G35" i="12" s="1"/>
  <c r="G7" i="16"/>
  <c r="G42" i="18"/>
  <c r="F23" i="11"/>
  <c r="E23" i="11"/>
  <c r="F107" i="6"/>
  <c r="D23" i="11"/>
  <c r="I7" i="9"/>
  <c r="I14" i="9" s="1"/>
  <c r="J20" i="9"/>
  <c r="C7" i="15"/>
  <c r="C7" i="18"/>
  <c r="C41" i="18" s="1"/>
  <c r="C8" i="16"/>
  <c r="C34" i="16" s="1"/>
  <c r="I6" i="9"/>
  <c r="I13" i="9" s="1"/>
  <c r="I28" i="9"/>
  <c r="J24" i="9"/>
  <c r="H29" i="9"/>
  <c r="H8" i="9"/>
  <c r="F47" i="18"/>
  <c r="F49" i="18"/>
  <c r="F7" i="15"/>
  <c r="F7" i="18"/>
  <c r="F41" i="18" s="1"/>
  <c r="F8" i="16"/>
  <c r="E47" i="18"/>
  <c r="E49" i="18"/>
  <c r="E8" i="16"/>
  <c r="E7" i="15"/>
  <c r="E7" i="18"/>
  <c r="E41" i="18" s="1"/>
  <c r="D49" i="18"/>
  <c r="D47" i="18"/>
  <c r="D7" i="18"/>
  <c r="D41" i="18" s="1"/>
  <c r="D7" i="15"/>
  <c r="D8" i="16"/>
  <c r="F13" i="16"/>
  <c r="E13" i="16"/>
  <c r="D13" i="16"/>
  <c r="C23" i="11"/>
  <c r="I41" i="18"/>
  <c r="J7" i="18"/>
  <c r="H42" i="18"/>
  <c r="H46" i="18"/>
  <c r="H44" i="18"/>
  <c r="H48" i="18" s="1"/>
  <c r="G107" i="6"/>
  <c r="H107" i="6"/>
  <c r="E107" i="6"/>
  <c r="G115" i="6"/>
  <c r="H106" i="6"/>
  <c r="R7" i="3"/>
  <c r="D107" i="6"/>
  <c r="L107" i="6"/>
  <c r="S7" i="6"/>
  <c r="S115" i="6" s="1"/>
  <c r="P106" i="6"/>
  <c r="S13" i="6"/>
  <c r="O107" i="6"/>
  <c r="Q106" i="6"/>
  <c r="P115" i="6"/>
  <c r="D115" i="6"/>
  <c r="E106" i="6"/>
  <c r="F115" i="6"/>
  <c r="G106" i="6"/>
  <c r="E115" i="6"/>
  <c r="F106" i="6"/>
  <c r="C115" i="6"/>
  <c r="D106" i="6"/>
  <c r="D3" i="1"/>
  <c r="C5" i="9" s="1"/>
  <c r="R13" i="3"/>
  <c r="H10" i="18" l="1"/>
  <c r="I10" i="18"/>
  <c r="G8" i="16"/>
  <c r="G7" i="15"/>
  <c r="G13" i="16"/>
  <c r="G33" i="16"/>
  <c r="G43" i="18"/>
  <c r="G49" i="18"/>
  <c r="G47" i="18"/>
  <c r="J7" i="9"/>
  <c r="J14" i="9" s="1"/>
  <c r="K20" i="9"/>
  <c r="C45" i="18"/>
  <c r="C43" i="18"/>
  <c r="D46" i="18"/>
  <c r="I29" i="9"/>
  <c r="I8" i="9"/>
  <c r="J6" i="9"/>
  <c r="J28" i="9"/>
  <c r="K24" i="9"/>
  <c r="H9" i="9"/>
  <c r="H15" i="9"/>
  <c r="G46" i="18"/>
  <c r="F46" i="18"/>
  <c r="F45" i="18"/>
  <c r="F43" i="18"/>
  <c r="F34" i="16"/>
  <c r="F14" i="16"/>
  <c r="E34" i="16"/>
  <c r="E14" i="16"/>
  <c r="E45" i="18"/>
  <c r="E43" i="18"/>
  <c r="E46" i="18"/>
  <c r="D43" i="18"/>
  <c r="D45" i="18"/>
  <c r="D34" i="16"/>
  <c r="D14" i="16"/>
  <c r="C5" i="16"/>
  <c r="C6" i="18"/>
  <c r="C40" i="18" s="1"/>
  <c r="C12" i="9"/>
  <c r="C19" i="9" s="1"/>
  <c r="C5" i="10"/>
  <c r="C6" i="11"/>
  <c r="C5" i="12"/>
  <c r="I42" i="18"/>
  <c r="I44" i="18"/>
  <c r="I48" i="18" s="1"/>
  <c r="I46" i="18"/>
  <c r="J41" i="18"/>
  <c r="K7" i="18"/>
  <c r="J10" i="18"/>
  <c r="H47" i="18"/>
  <c r="H49" i="18"/>
  <c r="D3" i="6"/>
  <c r="E3" i="1"/>
  <c r="D5" i="9" s="1"/>
  <c r="G34" i="16" l="1"/>
  <c r="G14" i="16"/>
  <c r="L20" i="9"/>
  <c r="L7" i="9" s="1"/>
  <c r="K7" i="9"/>
  <c r="K14" i="9" s="1"/>
  <c r="I9" i="9"/>
  <c r="I15" i="9"/>
  <c r="J8" i="9"/>
  <c r="J29" i="9"/>
  <c r="K28" i="9"/>
  <c r="K6" i="9"/>
  <c r="L24" i="9"/>
  <c r="H6" i="10"/>
  <c r="H16" i="9"/>
  <c r="H7" i="11"/>
  <c r="H6" i="12"/>
  <c r="H6" i="16"/>
  <c r="H12" i="16" s="1"/>
  <c r="C17" i="16"/>
  <c r="C22" i="16"/>
  <c r="C27" i="16"/>
  <c r="C11" i="16"/>
  <c r="C10" i="10"/>
  <c r="C21" i="10"/>
  <c r="C27" i="11"/>
  <c r="C41" i="11"/>
  <c r="C19" i="11"/>
  <c r="C12" i="11"/>
  <c r="C34" i="11"/>
  <c r="C26" i="12"/>
  <c r="C21" i="12"/>
  <c r="C33" i="12"/>
  <c r="J13" i="9"/>
  <c r="D5" i="10"/>
  <c r="D6" i="11"/>
  <c r="D5" i="12"/>
  <c r="D5" i="16"/>
  <c r="D6" i="18"/>
  <c r="D40" i="18" s="1"/>
  <c r="D12" i="9"/>
  <c r="D19" i="9" s="1"/>
  <c r="I47" i="18"/>
  <c r="I49" i="18"/>
  <c r="J42" i="18"/>
  <c r="J44" i="18"/>
  <c r="J48" i="18" s="1"/>
  <c r="J46" i="18"/>
  <c r="L7" i="18"/>
  <c r="K10" i="18"/>
  <c r="K41" i="18"/>
  <c r="E3" i="6"/>
  <c r="F3" i="1"/>
  <c r="E5" i="9" s="1"/>
  <c r="L14" i="9" l="1"/>
  <c r="I16" i="9"/>
  <c r="I6" i="10"/>
  <c r="I7" i="11"/>
  <c r="I6" i="12"/>
  <c r="I6" i="16"/>
  <c r="I12" i="16" s="1"/>
  <c r="K8" i="9"/>
  <c r="K29" i="9"/>
  <c r="L6" i="9"/>
  <c r="L28" i="9"/>
  <c r="H14" i="10"/>
  <c r="H11" i="12" s="1"/>
  <c r="H15" i="10"/>
  <c r="H11" i="10"/>
  <c r="H12" i="10"/>
  <c r="H13" i="10"/>
  <c r="H10" i="12" s="1"/>
  <c r="H16" i="10"/>
  <c r="H13" i="12" s="1"/>
  <c r="H45" i="11"/>
  <c r="H28" i="12" s="1"/>
  <c r="H13" i="11"/>
  <c r="H28" i="11" s="1"/>
  <c r="H36" i="11"/>
  <c r="D10" i="10"/>
  <c r="D21" i="10"/>
  <c r="D27" i="11"/>
  <c r="D12" i="11"/>
  <c r="D19" i="11"/>
  <c r="D41" i="11"/>
  <c r="D34" i="11"/>
  <c r="D33" i="12"/>
  <c r="D26" i="12"/>
  <c r="D21" i="12"/>
  <c r="D17" i="16"/>
  <c r="D27" i="16"/>
  <c r="D11" i="16"/>
  <c r="D22" i="16"/>
  <c r="J15" i="9"/>
  <c r="J9" i="9"/>
  <c r="K13" i="9"/>
  <c r="E6" i="11"/>
  <c r="E5" i="12"/>
  <c r="E12" i="9"/>
  <c r="E19" i="9" s="1"/>
  <c r="E5" i="16"/>
  <c r="E6" i="18"/>
  <c r="E40" i="18" s="1"/>
  <c r="E5" i="10"/>
  <c r="J47" i="18"/>
  <c r="J49" i="18"/>
  <c r="L8" i="18"/>
  <c r="L11" i="18" s="1"/>
  <c r="C30" i="18" s="1"/>
  <c r="L10" i="18"/>
  <c r="C29" i="18" s="1"/>
  <c r="L41" i="18"/>
  <c r="K46" i="18"/>
  <c r="K42" i="18"/>
  <c r="K44" i="18"/>
  <c r="K48" i="18" s="1"/>
  <c r="F3" i="6"/>
  <c r="G3" i="1"/>
  <c r="F5" i="9" s="1"/>
  <c r="C31" i="18" l="1"/>
  <c r="C34" i="18" s="1"/>
  <c r="C36" i="18" s="1"/>
  <c r="C16" i="18" s="1"/>
  <c r="I16" i="10"/>
  <c r="I13" i="12" s="1"/>
  <c r="I15" i="10"/>
  <c r="I14" i="10"/>
  <c r="I11" i="12" s="1"/>
  <c r="I13" i="10"/>
  <c r="I10" i="12" s="1"/>
  <c r="I11" i="10"/>
  <c r="I12" i="10"/>
  <c r="I45" i="11"/>
  <c r="I28" i="12" s="1"/>
  <c r="I13" i="11"/>
  <c r="I28" i="11" s="1"/>
  <c r="I36" i="11"/>
  <c r="L13" i="9"/>
  <c r="L29" i="9"/>
  <c r="L8" i="9"/>
  <c r="H42" i="11"/>
  <c r="H12" i="12"/>
  <c r="H8" i="11"/>
  <c r="H7" i="12"/>
  <c r="H8" i="12" s="1"/>
  <c r="H17" i="10"/>
  <c r="H14" i="12" s="1"/>
  <c r="H9" i="12"/>
  <c r="J6" i="16"/>
  <c r="J12" i="16" s="1"/>
  <c r="J6" i="12"/>
  <c r="J7" i="11"/>
  <c r="J16" i="9"/>
  <c r="J6" i="10"/>
  <c r="E27" i="11"/>
  <c r="E19" i="11"/>
  <c r="E12" i="11"/>
  <c r="E34" i="11"/>
  <c r="E41" i="11"/>
  <c r="E33" i="12"/>
  <c r="E26" i="12"/>
  <c r="E21" i="12"/>
  <c r="E22" i="16"/>
  <c r="E27" i="16"/>
  <c r="E17" i="16"/>
  <c r="E11" i="16"/>
  <c r="E10" i="10"/>
  <c r="E21" i="10"/>
  <c r="K15" i="9"/>
  <c r="K9" i="9"/>
  <c r="F5" i="10"/>
  <c r="F6" i="11"/>
  <c r="F5" i="12"/>
  <c r="F5" i="16"/>
  <c r="F6" i="18"/>
  <c r="F40" i="18" s="1"/>
  <c r="F12" i="9"/>
  <c r="F19" i="9" s="1"/>
  <c r="L44" i="18"/>
  <c r="L48" i="18" s="1"/>
  <c r="L46" i="18"/>
  <c r="L42" i="18"/>
  <c r="K49" i="18"/>
  <c r="K47" i="18"/>
  <c r="G3" i="6"/>
  <c r="H3" i="1"/>
  <c r="G5" i="9" s="1"/>
  <c r="H17" i="12" l="1"/>
  <c r="I42" i="11"/>
  <c r="I12" i="12"/>
  <c r="I8" i="11"/>
  <c r="I7" i="12"/>
  <c r="I8" i="12" s="1"/>
  <c r="I17" i="10"/>
  <c r="I14" i="12" s="1"/>
  <c r="I9" i="12"/>
  <c r="H44" i="11"/>
  <c r="H43" i="11"/>
  <c r="H27" i="12"/>
  <c r="H14" i="11"/>
  <c r="H29" i="11" s="1"/>
  <c r="H15" i="11"/>
  <c r="H30" i="11" s="1"/>
  <c r="J45" i="11"/>
  <c r="J28" i="12" s="1"/>
  <c r="J13" i="11"/>
  <c r="J28" i="11" s="1"/>
  <c r="J36" i="11"/>
  <c r="J16" i="10"/>
  <c r="J13" i="12" s="1"/>
  <c r="J15" i="10"/>
  <c r="J14" i="10"/>
  <c r="J11" i="12" s="1"/>
  <c r="J13" i="10"/>
  <c r="J10" i="12" s="1"/>
  <c r="J11" i="10"/>
  <c r="J12" i="10"/>
  <c r="K6" i="16"/>
  <c r="K12" i="16" s="1"/>
  <c r="K6" i="12"/>
  <c r="K7" i="11"/>
  <c r="K16" i="9"/>
  <c r="K6" i="10"/>
  <c r="F10" i="10"/>
  <c r="F21" i="10"/>
  <c r="F12" i="11"/>
  <c r="F34" i="11"/>
  <c r="F41" i="11"/>
  <c r="F27" i="11"/>
  <c r="F19" i="11"/>
  <c r="F33" i="12"/>
  <c r="F26" i="12"/>
  <c r="F21" i="12"/>
  <c r="F11" i="16"/>
  <c r="F27" i="16"/>
  <c r="F17" i="16"/>
  <c r="F22" i="16"/>
  <c r="L15" i="9"/>
  <c r="L9" i="9"/>
  <c r="H5" i="9"/>
  <c r="G12" i="9"/>
  <c r="G19" i="9" s="1"/>
  <c r="G6" i="11"/>
  <c r="G5" i="12"/>
  <c r="G5" i="16"/>
  <c r="G6" i="18"/>
  <c r="G40" i="18" s="1"/>
  <c r="G5" i="10"/>
  <c r="L47" i="18"/>
  <c r="L49" i="18"/>
  <c r="I3" i="1"/>
  <c r="J3" i="1" s="1"/>
  <c r="K3" i="1" s="1"/>
  <c r="H3" i="6"/>
  <c r="I17" i="12" l="1"/>
  <c r="I44" i="11"/>
  <c r="I43" i="11"/>
  <c r="I27" i="12"/>
  <c r="I15" i="11"/>
  <c r="I30" i="11" s="1"/>
  <c r="I14" i="11"/>
  <c r="I29" i="11" s="1"/>
  <c r="I35" i="11" s="1"/>
  <c r="I29" i="12" s="1"/>
  <c r="J42" i="11"/>
  <c r="J12" i="12"/>
  <c r="J8" i="11"/>
  <c r="J7" i="12"/>
  <c r="J8" i="12" s="1"/>
  <c r="J17" i="10"/>
  <c r="J14" i="12" s="1"/>
  <c r="J9" i="12"/>
  <c r="K45" i="11"/>
  <c r="K28" i="12" s="1"/>
  <c r="K13" i="11"/>
  <c r="K28" i="11" s="1"/>
  <c r="K36" i="11"/>
  <c r="K16" i="10"/>
  <c r="K13" i="12" s="1"/>
  <c r="K15" i="10"/>
  <c r="K14" i="10"/>
  <c r="K11" i="12" s="1"/>
  <c r="K13" i="10"/>
  <c r="K10" i="12" s="1"/>
  <c r="K11" i="10"/>
  <c r="K12" i="10"/>
  <c r="H7" i="16"/>
  <c r="H13" i="16" s="1"/>
  <c r="H34" i="12"/>
  <c r="L6" i="16"/>
  <c r="L6" i="12"/>
  <c r="L7" i="11"/>
  <c r="L6" i="10"/>
  <c r="L16" i="9"/>
  <c r="I5" i="9"/>
  <c r="H12" i="9"/>
  <c r="H19" i="9" s="1"/>
  <c r="H5" i="10"/>
  <c r="H6" i="11"/>
  <c r="H5" i="12"/>
  <c r="H5" i="16"/>
  <c r="H6" i="18"/>
  <c r="H40" i="18" s="1"/>
  <c r="G34" i="11"/>
  <c r="G19" i="11"/>
  <c r="G12" i="11"/>
  <c r="G41" i="11"/>
  <c r="G27" i="11"/>
  <c r="G33" i="12"/>
  <c r="G21" i="12"/>
  <c r="G26" i="12"/>
  <c r="G17" i="16"/>
  <c r="G27" i="16"/>
  <c r="G22" i="16"/>
  <c r="G11" i="16"/>
  <c r="G21" i="10"/>
  <c r="G10" i="10"/>
  <c r="H35" i="11"/>
  <c r="H29" i="12" s="1"/>
  <c r="AE7" i="9"/>
  <c r="AA14" i="9"/>
  <c r="AE6" i="9"/>
  <c r="AA13" i="9"/>
  <c r="AE8" i="9"/>
  <c r="AA9" i="9"/>
  <c r="X6" i="10" s="1"/>
  <c r="AA15" i="9"/>
  <c r="J17" i="12" l="1"/>
  <c r="AB6" i="10"/>
  <c r="X12" i="10"/>
  <c r="X13" i="10"/>
  <c r="AB13" i="10" s="1"/>
  <c r="X11" i="10"/>
  <c r="AB11" i="10" s="1"/>
  <c r="X14" i="10"/>
  <c r="AB14" i="10" s="1"/>
  <c r="X15" i="10"/>
  <c r="AB15" i="10" s="1"/>
  <c r="X16" i="10"/>
  <c r="AB16" i="10" s="1"/>
  <c r="H35" i="12"/>
  <c r="J44" i="11"/>
  <c r="J43" i="11"/>
  <c r="J27" i="12"/>
  <c r="J14" i="11"/>
  <c r="J29" i="11" s="1"/>
  <c r="J15" i="11"/>
  <c r="J30" i="11" s="1"/>
  <c r="K42" i="11"/>
  <c r="K12" i="12"/>
  <c r="K8" i="11"/>
  <c r="K7" i="12"/>
  <c r="K8" i="12" s="1"/>
  <c r="K9" i="12"/>
  <c r="K17" i="10"/>
  <c r="K14" i="12" s="1"/>
  <c r="C47" i="16"/>
  <c r="C51" i="16" s="1"/>
  <c r="C52" i="16" s="1"/>
  <c r="C7" i="17" s="1"/>
  <c r="L12" i="16"/>
  <c r="L45" i="11"/>
  <c r="L28" i="12" s="1"/>
  <c r="L13" i="11"/>
  <c r="L28" i="11" s="1"/>
  <c r="L36" i="11"/>
  <c r="L11" i="10"/>
  <c r="L16" i="10"/>
  <c r="L13" i="12" s="1"/>
  <c r="L14" i="10"/>
  <c r="L11" i="12" s="1"/>
  <c r="L13" i="10"/>
  <c r="L10" i="12" s="1"/>
  <c r="L12" i="10"/>
  <c r="L15" i="10"/>
  <c r="I12" i="9"/>
  <c r="I19" i="9" s="1"/>
  <c r="J5" i="9"/>
  <c r="I5" i="10"/>
  <c r="I6" i="11"/>
  <c r="I5" i="12"/>
  <c r="I5" i="16"/>
  <c r="I6" i="18"/>
  <c r="I40" i="18" s="1"/>
  <c r="H21" i="10"/>
  <c r="H10" i="10"/>
  <c r="H34" i="11"/>
  <c r="H12" i="11"/>
  <c r="H27" i="11"/>
  <c r="H41" i="11"/>
  <c r="H19" i="11"/>
  <c r="H33" i="12"/>
  <c r="H21" i="12"/>
  <c r="H26" i="12"/>
  <c r="H11" i="16"/>
  <c r="H22" i="16"/>
  <c r="H17" i="16"/>
  <c r="H27" i="16"/>
  <c r="I7" i="16"/>
  <c r="I13" i="16" s="1"/>
  <c r="I34" i="12"/>
  <c r="I35" i="12" s="1"/>
  <c r="AA16" i="9"/>
  <c r="AE9" i="9"/>
  <c r="K17" i="12" l="1"/>
  <c r="AB12" i="10"/>
  <c r="X17" i="10"/>
  <c r="AB17" i="10" s="1"/>
  <c r="H7" i="15"/>
  <c r="H10" i="15" s="1"/>
  <c r="H8" i="16"/>
  <c r="H14" i="16" s="1"/>
  <c r="K44" i="11"/>
  <c r="K43" i="11"/>
  <c r="K27" i="12"/>
  <c r="K15" i="11"/>
  <c r="K30" i="11" s="1"/>
  <c r="K14" i="11"/>
  <c r="K29" i="11" s="1"/>
  <c r="L8" i="11"/>
  <c r="L7" i="12"/>
  <c r="L8" i="12" s="1"/>
  <c r="L17" i="10"/>
  <c r="L14" i="12" s="1"/>
  <c r="L9" i="12"/>
  <c r="L42" i="11"/>
  <c r="L12" i="12"/>
  <c r="K5" i="9"/>
  <c r="J12" i="9"/>
  <c r="J19" i="9" s="1"/>
  <c r="J5" i="10"/>
  <c r="J6" i="11"/>
  <c r="J5" i="12"/>
  <c r="J5" i="16"/>
  <c r="J6" i="18"/>
  <c r="J40" i="18" s="1"/>
  <c r="I10" i="10"/>
  <c r="I21" i="10"/>
  <c r="I34" i="11"/>
  <c r="I41" i="11"/>
  <c r="I19" i="11"/>
  <c r="I12" i="11"/>
  <c r="I27" i="11"/>
  <c r="I33" i="12"/>
  <c r="I21" i="12"/>
  <c r="I26" i="12"/>
  <c r="I22" i="16"/>
  <c r="I11" i="16"/>
  <c r="I27" i="16"/>
  <c r="I17" i="16"/>
  <c r="I7" i="15"/>
  <c r="I10" i="15" s="1"/>
  <c r="I8" i="16"/>
  <c r="J7" i="16"/>
  <c r="J13" i="16" s="1"/>
  <c r="J34" i="12"/>
  <c r="J35" i="11"/>
  <c r="J29" i="12" s="1"/>
  <c r="L17" i="12" l="1"/>
  <c r="K35" i="11"/>
  <c r="K29" i="12" s="1"/>
  <c r="L14" i="11"/>
  <c r="L29" i="11" s="1"/>
  <c r="L15" i="11"/>
  <c r="L30" i="11" s="1"/>
  <c r="L44" i="11"/>
  <c r="L27" i="12"/>
  <c r="K12" i="9"/>
  <c r="K19" i="9" s="1"/>
  <c r="L5" i="9"/>
  <c r="K5" i="10"/>
  <c r="K6" i="11"/>
  <c r="K5" i="12"/>
  <c r="K5" i="16"/>
  <c r="K6" i="18"/>
  <c r="K40" i="18" s="1"/>
  <c r="J10" i="10"/>
  <c r="J21" i="10"/>
  <c r="J19" i="11"/>
  <c r="J41" i="11"/>
  <c r="J12" i="11"/>
  <c r="J34" i="11"/>
  <c r="J27" i="11"/>
  <c r="J33" i="12"/>
  <c r="J21" i="12"/>
  <c r="J26" i="12"/>
  <c r="J22" i="16"/>
  <c r="J27" i="16"/>
  <c r="J11" i="16"/>
  <c r="J17" i="16"/>
  <c r="I14" i="16"/>
  <c r="K7" i="16"/>
  <c r="K13" i="16" s="1"/>
  <c r="K34" i="12"/>
  <c r="J35" i="12"/>
  <c r="L34" i="12" l="1"/>
  <c r="L7" i="16"/>
  <c r="K35" i="12"/>
  <c r="L35" i="11"/>
  <c r="L29" i="12" s="1"/>
  <c r="L35" i="12" s="1"/>
  <c r="L13" i="16"/>
  <c r="C38" i="16"/>
  <c r="C42" i="16" s="1"/>
  <c r="C43" i="16" s="1"/>
  <c r="C44" i="16" s="1"/>
  <c r="C6" i="17" s="1"/>
  <c r="L5" i="10"/>
  <c r="L6" i="11"/>
  <c r="L5" i="12"/>
  <c r="L5" i="16"/>
  <c r="L6" i="18"/>
  <c r="L40" i="18" s="1"/>
  <c r="L12" i="9"/>
  <c r="L19" i="9" s="1"/>
  <c r="K10" i="10"/>
  <c r="K21" i="10"/>
  <c r="K27" i="11"/>
  <c r="K19" i="11"/>
  <c r="K34" i="11"/>
  <c r="K12" i="11"/>
  <c r="K41" i="11"/>
  <c r="K33" i="12"/>
  <c r="K26" i="12"/>
  <c r="K21" i="12"/>
  <c r="K27" i="16"/>
  <c r="K17" i="16"/>
  <c r="K11" i="16"/>
  <c r="K22" i="16"/>
  <c r="J8" i="16"/>
  <c r="J7" i="15"/>
  <c r="J10" i="15" s="1"/>
  <c r="K7" i="15" l="1"/>
  <c r="K10" i="15" s="1"/>
  <c r="K8" i="16"/>
  <c r="K14" i="16" s="1"/>
  <c r="L10" i="10"/>
  <c r="L21" i="10"/>
  <c r="L12" i="11"/>
  <c r="L34" i="11"/>
  <c r="L19" i="11"/>
  <c r="L41" i="11"/>
  <c r="L27" i="11"/>
  <c r="L26" i="12"/>
  <c r="L33" i="12"/>
  <c r="L21" i="12"/>
  <c r="L17" i="16"/>
  <c r="L11" i="16"/>
  <c r="L27" i="16"/>
  <c r="L22" i="16"/>
  <c r="J14" i="16"/>
  <c r="L8" i="16"/>
  <c r="L7" i="15"/>
  <c r="L14" i="16" l="1"/>
  <c r="C55" i="16"/>
  <c r="C59" i="16" s="1"/>
  <c r="C60" i="16" s="1"/>
  <c r="C61" i="16" s="1"/>
  <c r="C8" i="17" s="1"/>
  <c r="L8" i="15"/>
  <c r="L11" i="15" s="1"/>
  <c r="C20" i="15" s="1"/>
  <c r="L10" i="15"/>
  <c r="C19" i="15" s="1"/>
  <c r="C21" i="15" l="1"/>
  <c r="C24" i="15" s="1"/>
  <c r="C26" i="15" s="1"/>
  <c r="C5" i="17" s="1"/>
  <c r="C9" i="17" s="1"/>
  <c r="C11"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tc={28FFD7B9-6059-4543-B530-AE286539E9DC}</author>
  </authors>
  <commentList>
    <comment ref="B4" authorId="0" shapeId="0" xr:uid="{28FFD7B9-6059-4543-B530-AE286539E9DC}">
      <text>
        <t>[Threaded comment]
Your version of Excel allows you to read this threaded comment; however, any edits to it will get removed if the file is opened in a newer version of Excel. Learn more: https://go.microsoft.com/fwlink/?linkid=870924
Comment:
    Bond yield or for lease only debt search 10-K for Note 8 Debt and Finance lease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tc={47DC635B-B951-894F-8927-C861B2D344C7}</author>
    <author>tc={D394081D-FAF9-AB4C-8C13-0F2C7A4C0BC4}</author>
  </authors>
  <commentList>
    <comment ref="B173" authorId="0" shapeId="0" xr:uid="{47DC635B-B951-894F-8927-C861B2D344C7}">
      <text>
        <t>[Threaded comment]
Your version of Excel allows you to read this threaded comment; however, any edits to it will get removed if the file is opened in a newer version of Excel. Learn more: https://go.microsoft.com/fwlink/?linkid=870924
Comment:
    Actual number (not K or M)</t>
      </text>
    </comment>
    <comment ref="B194" authorId="1" shapeId="0" xr:uid="{D394081D-FAF9-AB4C-8C13-0F2C7A4C0BC4}">
      <text>
        <t>[Threaded comment]
Your version of Excel allows you to read this threaded comment; however, any edits to it will get removed if the file is opened in a newer version of Excel. Learn more: https://go.microsoft.com/fwlink/?linkid=870924
Comment:
    Take the closing price of the last day of the period. In case the price has seen heavy fluctuations make an average of the last days. Info found at Yahoo Finance in the Historical Data section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tc={C0E44C63-9A04-C843-874D-703EEBBB0F28}</author>
  </authors>
  <commentList>
    <comment ref="B163" authorId="0" shapeId="0" xr:uid="{C0E44C63-9A04-C843-874D-703EEBBB0F28}">
      <text>
        <t>[Threaded comment]
Your version of Excel allows you to read this threaded comment; however, any edits to it will get removed if the file is opened in a newer version of Excel. Learn more: https://go.microsoft.com/fwlink/?linkid=870924
Comment:
    Actual number (not K or M)</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tc={D02FF5CB-BB6F-684F-B674-508B6EB73B98}</author>
  </authors>
  <commentList>
    <comment ref="B35" authorId="0" shapeId="0" xr:uid="{D02FF5CB-BB6F-684F-B674-508B6EB73B98}">
      <text>
        <t>[Threaded comment]
Your version of Excel allows you to read this threaded comment; however, any edits to it will get removed if the file is opened in a newer version of Excel. Learn more: https://go.microsoft.com/fwlink/?linkid=870924
Comment:
    We use here the inverted signg as are used in the CashFlow statement which means we will Add the change in NWC to the NOPAT instead of subtracting it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tc={97B820BD-138F-064E-B3B8-543D2F51466A}</author>
    <author>tc={694812DC-D762-CE48-A17C-B69109D937D7}</author>
  </authors>
  <commentList>
    <comment ref="B9" authorId="0" shapeId="0" xr:uid="{97B820BD-138F-064E-B3B8-543D2F51466A}">
      <text>
        <t>[Threaded comment]
Your version of Excel allows you to read this threaded comment; however, any edits to it will get removed if the file is opened in a newer version of Excel. Learn more: https://go.microsoft.com/fwlink/?linkid=870924
Comment:
    10 year government bond yield</t>
      </text>
    </comment>
    <comment ref="B13" authorId="1" shapeId="0" xr:uid="{694812DC-D762-CE48-A17C-B69109D937D7}">
      <text>
        <t>[Threaded comment]
Your version of Excel allows you to read this threaded comment; however, any edits to it will get removed if the file is opened in a newer version of Excel. Learn more: https://go.microsoft.com/fwlink/?linkid=870924
Comment:
    Bond yield or for lease only debt search 10-K for Note 8 Debt and Finance lease</t>
      </text>
    </comment>
  </commentList>
</comments>
</file>

<file path=xl/sharedStrings.xml><?xml version="1.0" encoding="utf-8"?>
<sst xmlns="http://schemas.openxmlformats.org/spreadsheetml/2006/main" count="823" uniqueCount="394">
  <si>
    <t>Date</t>
  </si>
  <si>
    <t>FY</t>
  </si>
  <si>
    <t>Ticker</t>
  </si>
  <si>
    <t>Units</t>
  </si>
  <si>
    <t>Shares outstanding</t>
  </si>
  <si>
    <t>Income statement</t>
  </si>
  <si>
    <t>Revenue</t>
  </si>
  <si>
    <t>COGS</t>
  </si>
  <si>
    <t>Gross Profit</t>
  </si>
  <si>
    <t>R&amp;D</t>
  </si>
  <si>
    <t>SG&amp;A</t>
  </si>
  <si>
    <t>OpEx</t>
  </si>
  <si>
    <t>Operating income</t>
  </si>
  <si>
    <t>Income before taxes</t>
  </si>
  <si>
    <t>Net income</t>
  </si>
  <si>
    <t>Basic Shares outstanding avg</t>
  </si>
  <si>
    <t>Diluted Shares outstanding avg</t>
  </si>
  <si>
    <t>Basic EPS</t>
  </si>
  <si>
    <t>Diluted EPS</t>
  </si>
  <si>
    <t>Balance sheet</t>
  </si>
  <si>
    <t>Cash and cash equivalents</t>
  </si>
  <si>
    <t>Acc receivable</t>
  </si>
  <si>
    <t>Current assets</t>
  </si>
  <si>
    <t>Deferred tax assets</t>
  </si>
  <si>
    <t>PP&amp;E</t>
  </si>
  <si>
    <t>Goodwill</t>
  </si>
  <si>
    <t>Other assets</t>
  </si>
  <si>
    <t>Long term assets</t>
  </si>
  <si>
    <t>Total assets</t>
  </si>
  <si>
    <t>Acc payable</t>
  </si>
  <si>
    <t>Long term liabilities</t>
  </si>
  <si>
    <t>Total liabilities</t>
  </si>
  <si>
    <t>Current liabilities</t>
  </si>
  <si>
    <t>Common stock par value</t>
  </si>
  <si>
    <t>Retained earnings</t>
  </si>
  <si>
    <t>Stockholder equity</t>
  </si>
  <si>
    <t>Total liabilities and equity</t>
  </si>
  <si>
    <t>Cashflow statement</t>
  </si>
  <si>
    <t>D&amp;A</t>
  </si>
  <si>
    <t>Change acc receivable</t>
  </si>
  <si>
    <t>Change acc payable</t>
  </si>
  <si>
    <t>Operating cashflow</t>
  </si>
  <si>
    <t>CapEx</t>
  </si>
  <si>
    <t>Investing cashflow</t>
  </si>
  <si>
    <t>Financing cashflow</t>
  </si>
  <si>
    <t>Net increase/decrease in cash</t>
  </si>
  <si>
    <t>Begin cash</t>
  </si>
  <si>
    <t>End cash</t>
  </si>
  <si>
    <t>Sanity checks</t>
  </si>
  <si>
    <t>Calculated Net Income</t>
  </si>
  <si>
    <t>Check Net Income</t>
  </si>
  <si>
    <t>Calculated Assets</t>
  </si>
  <si>
    <t>Check Assets</t>
  </si>
  <si>
    <t xml:space="preserve">Calculated Liabilities </t>
  </si>
  <si>
    <t>Check Liabilities</t>
  </si>
  <si>
    <t>Calculated Stockholder Equity</t>
  </si>
  <si>
    <t>Check Stockholder Equity</t>
  </si>
  <si>
    <t>Calculated Operating Cashflow</t>
  </si>
  <si>
    <t>Check Operating Cashflow</t>
  </si>
  <si>
    <t>Calculated Investing Cashflow</t>
  </si>
  <si>
    <t>Check Investing Cashflow</t>
  </si>
  <si>
    <t>Calculated Financing Cashflow</t>
  </si>
  <si>
    <t>Check Financing Cashflow</t>
  </si>
  <si>
    <t>Check End Cash</t>
  </si>
  <si>
    <t>Calculated End Cash</t>
  </si>
  <si>
    <t>Other data</t>
  </si>
  <si>
    <t>Check balance</t>
  </si>
  <si>
    <t>Q</t>
  </si>
  <si>
    <t>Q1 2025</t>
  </si>
  <si>
    <t>Q2 2025</t>
  </si>
  <si>
    <t>Q3 2025</t>
  </si>
  <si>
    <t>Dividends per share</t>
  </si>
  <si>
    <t>Income tax expense/benefit</t>
  </si>
  <si>
    <t>Price</t>
  </si>
  <si>
    <t>TTM</t>
  </si>
  <si>
    <t>Quarter compare</t>
  </si>
  <si>
    <t>Growth Rate</t>
  </si>
  <si>
    <t>Revenue Lower</t>
  </si>
  <si>
    <t>Revenue Upper</t>
  </si>
  <si>
    <t>Result</t>
  </si>
  <si>
    <t>EPS Lower</t>
  </si>
  <si>
    <t>EPS Upper</t>
  </si>
  <si>
    <t>Actual Revenue</t>
  </si>
  <si>
    <t>Actual EPS</t>
  </si>
  <si>
    <t>Company guidance next Quarter</t>
  </si>
  <si>
    <t>Depreciation</t>
  </si>
  <si>
    <t>Amortization</t>
  </si>
  <si>
    <t>Growth rates Income Statement</t>
  </si>
  <si>
    <t>Margins</t>
  </si>
  <si>
    <t>Gross margin</t>
  </si>
  <si>
    <t>Operating margin</t>
  </si>
  <si>
    <t>Net margin</t>
  </si>
  <si>
    <t>Tax rate</t>
  </si>
  <si>
    <t>Employees</t>
  </si>
  <si>
    <t>Sales and marketing</t>
  </si>
  <si>
    <t>General and administrative</t>
  </si>
  <si>
    <t>K</t>
  </si>
  <si>
    <t>Operating lease right of use</t>
  </si>
  <si>
    <t>Additional paid-in capital</t>
  </si>
  <si>
    <t>Stock-based compensation</t>
  </si>
  <si>
    <t>Change deferred revenue</t>
  </si>
  <si>
    <t>Change prepaid expenses</t>
  </si>
  <si>
    <t>Change accrued expenses</t>
  </si>
  <si>
    <t>Issuance common stock</t>
  </si>
  <si>
    <t>Interest income</t>
  </si>
  <si>
    <t>Intangible assets</t>
  </si>
  <si>
    <t>Deferred tax liabilities</t>
  </si>
  <si>
    <t>Revenue breakdown</t>
  </si>
  <si>
    <t>Company specifics</t>
  </si>
  <si>
    <t>Company specific metrics</t>
  </si>
  <si>
    <t>Total</t>
  </si>
  <si>
    <t>Revenue growth</t>
  </si>
  <si>
    <t>History</t>
  </si>
  <si>
    <t>Forecast</t>
  </si>
  <si>
    <t>% of revenue</t>
  </si>
  <si>
    <t>Dilution rate</t>
  </si>
  <si>
    <t>PS valuation</t>
  </si>
  <si>
    <t>Applied PS ratio</t>
  </si>
  <si>
    <t>PHR</t>
  </si>
  <si>
    <t>31.01.2025</t>
  </si>
  <si>
    <t>31.01.2024</t>
  </si>
  <si>
    <t>31.01.2023</t>
  </si>
  <si>
    <t>Other income/expense</t>
  </si>
  <si>
    <t>Extinguishment of debt</t>
  </si>
  <si>
    <t>Settlement assets</t>
  </si>
  <si>
    <t>Deferred contract acquisition costs</t>
  </si>
  <si>
    <t>Prepaid expenses &amp; Other current</t>
  </si>
  <si>
    <t>Capitalized internal use software</t>
  </si>
  <si>
    <t>Settlement obligations</t>
  </si>
  <si>
    <t>Current portion of finance lease</t>
  </si>
  <si>
    <t>Current portion of operating lease</t>
  </si>
  <si>
    <t>Accrued expenses</t>
  </si>
  <si>
    <t>Deferred revenue</t>
  </si>
  <si>
    <t>Other current liabilities</t>
  </si>
  <si>
    <t>Long term finance lease</t>
  </si>
  <si>
    <t>Operating lease</t>
  </si>
  <si>
    <t>Other liabilities</t>
  </si>
  <si>
    <t>Preferred stock par value</t>
  </si>
  <si>
    <t>Other comprehensive loss</t>
  </si>
  <si>
    <t>Treasury stock par value</t>
  </si>
  <si>
    <t>Amortization of deferred financing</t>
  </si>
  <si>
    <t>Non-cash gain on settlement</t>
  </si>
  <si>
    <t>Cost of Phreesia HW purchased</t>
  </si>
  <si>
    <t>Deferred contract acquisition</t>
  </si>
  <si>
    <t>Non-cash operating lease</t>
  </si>
  <si>
    <t>Deferred taxes</t>
  </si>
  <si>
    <t>Change deferred contract acquisition</t>
  </si>
  <si>
    <t>Change lease liabilities</t>
  </si>
  <si>
    <t>Acquisitions</t>
  </si>
  <si>
    <t>Treasurury stock</t>
  </si>
  <si>
    <t>Proceeds employee stock purchase</t>
  </si>
  <si>
    <t>Finance lease</t>
  </si>
  <si>
    <t>Constructive financing</t>
  </si>
  <si>
    <t>Principal payment financial agreements</t>
  </si>
  <si>
    <t>Debt issuance</t>
  </si>
  <si>
    <t>Financing payments</t>
  </si>
  <si>
    <t>Debt extinguishment</t>
  </si>
  <si>
    <t>Effect exchange rate</t>
  </si>
  <si>
    <t>Subscription and related services</t>
  </si>
  <si>
    <t>Network solutions</t>
  </si>
  <si>
    <t>Loss exstinguishment of debt</t>
  </si>
  <si>
    <t>Change fair value contingent liabilities</t>
  </si>
  <si>
    <t>Issuance common stock options</t>
  </si>
  <si>
    <t>Payment offering costs</t>
  </si>
  <si>
    <t>Insurance financing agreement</t>
  </si>
  <si>
    <t>Loan facility fee payment</t>
  </si>
  <si>
    <t>Payment revolving line of credit</t>
  </si>
  <si>
    <t>31.01.2022</t>
  </si>
  <si>
    <t>31.01.2021</t>
  </si>
  <si>
    <t>Q1 2026</t>
  </si>
  <si>
    <t>Q2 2026</t>
  </si>
  <si>
    <t>Q3 2026</t>
  </si>
  <si>
    <t>31.10.2025</t>
  </si>
  <si>
    <t>Q4 2025</t>
  </si>
  <si>
    <t>31.10.2024</t>
  </si>
  <si>
    <t>Debt issuance costs</t>
  </si>
  <si>
    <t>31.07.2025</t>
  </si>
  <si>
    <t>31.07.2024</t>
  </si>
  <si>
    <t>30.04.2025</t>
  </si>
  <si>
    <t>30.04.2024</t>
  </si>
  <si>
    <t>Payment facilitator volume</t>
  </si>
  <si>
    <t>AHSC</t>
  </si>
  <si>
    <t>Patient payment volume</t>
  </si>
  <si>
    <t>Take rate</t>
  </si>
  <si>
    <t>pacient payment volume * facilitator * take rate</t>
  </si>
  <si>
    <t>Avg subscription revenue per AHSC</t>
  </si>
  <si>
    <t>Annual patient visits</t>
  </si>
  <si>
    <t>Patient visit per AHSC</t>
  </si>
  <si>
    <t>Revenues</t>
  </si>
  <si>
    <t>Patient payment volume growth</t>
  </si>
  <si>
    <t>Patient visit per AHSC growth</t>
  </si>
  <si>
    <t>Revenue per visit</t>
  </si>
  <si>
    <t>Revenue per visit growth</t>
  </si>
  <si>
    <t>Annual patient visits growth</t>
  </si>
  <si>
    <t>Avg diluted shares</t>
  </si>
  <si>
    <t>PE</t>
  </si>
  <si>
    <t>PS</t>
  </si>
  <si>
    <t>AHSC * avg sub revenue per AHSC</t>
  </si>
  <si>
    <t>Network solutions revenue per AHSC</t>
  </si>
  <si>
    <t xml:space="preserve">annual patient visits  * revenue per visit </t>
  </si>
  <si>
    <t>Nw solutions revenue growth</t>
  </si>
  <si>
    <t>Change in acc receivable</t>
  </si>
  <si>
    <t>Change in acc payable</t>
  </si>
  <si>
    <t>Change NWC</t>
  </si>
  <si>
    <t>DuPont Identity</t>
  </si>
  <si>
    <t>Profit Margin (Earnings/Revenue)</t>
  </si>
  <si>
    <t>Asset Turnover (Revenue/Total assets)</t>
  </si>
  <si>
    <t>ROA</t>
  </si>
  <si>
    <t>Equity Multiplier (Total assets/Equity)</t>
  </si>
  <si>
    <t>ROE</t>
  </si>
  <si>
    <t>Growth rates</t>
  </si>
  <si>
    <t>Shares held by insiders</t>
  </si>
  <si>
    <t>Total shares</t>
  </si>
  <si>
    <t>Insider %</t>
  </si>
  <si>
    <t>ROIC = NOPAT/Invested capital</t>
  </si>
  <si>
    <t>NOPAT = EBIT * (1-tax rate)</t>
  </si>
  <si>
    <t>Invested capital = (Total assets - Cash and equivalents) -non-interest bearing current liabilities</t>
  </si>
  <si>
    <t>NIBCL usually are accounts payable and accrued expenses and other operating items that do not have interest attached</t>
  </si>
  <si>
    <t>NIBCL does not include any sort of debt</t>
  </si>
  <si>
    <t>NOPAT</t>
  </si>
  <si>
    <t>Assets les cash</t>
  </si>
  <si>
    <t>NIBCL</t>
  </si>
  <si>
    <t>Invested capital</t>
  </si>
  <si>
    <t>ROIC</t>
  </si>
  <si>
    <t>Market cap</t>
  </si>
  <si>
    <t>EBITDA</t>
  </si>
  <si>
    <t>Net debt</t>
  </si>
  <si>
    <t>EV</t>
  </si>
  <si>
    <t>31.01.2026</t>
  </si>
  <si>
    <t>Cardholder receivables</t>
  </si>
  <si>
    <t>Deferred purchase receivables</t>
  </si>
  <si>
    <t>Accrued interest receivables</t>
  </si>
  <si>
    <t>Dues to healthcare providers</t>
  </si>
  <si>
    <t>Q4 2026</t>
  </si>
  <si>
    <t>Interest expense</t>
  </si>
  <si>
    <t>Unrialized gains/losses fair value option</t>
  </si>
  <si>
    <t>Collections principal on receivables</t>
  </si>
  <si>
    <t>Accrued interest receivable</t>
  </si>
  <si>
    <t>Payment of due to provider</t>
  </si>
  <si>
    <t>Collection of cardholder receivable</t>
  </si>
  <si>
    <t>Proceeds from debt instruments</t>
  </si>
  <si>
    <t>Principal payments on debt</t>
  </si>
  <si>
    <t>Payments due to provider</t>
  </si>
  <si>
    <t>Notes</t>
  </si>
  <si>
    <t>30.03.2026</t>
  </si>
  <si>
    <t>Revenue outlook for FY 2027 will be in the range 510-520 million</t>
  </si>
  <si>
    <t>Network solution clients commiting lower spend levels for second half of fiscal 2027</t>
  </si>
  <si>
    <t>AccessOne will contribute about 37 million to the total revenue range</t>
  </si>
  <si>
    <t>Adjusted EBITDA in the range 125 to 135 million</t>
  </si>
  <si>
    <t>AHSC growth in the mid single digit percentage range</t>
  </si>
  <si>
    <t>Total revenue per AHSC in low single digit percentage range</t>
  </si>
  <si>
    <t>Payment solutions</t>
  </si>
  <si>
    <t>TAM of 24B</t>
  </si>
  <si>
    <t>annual patient visits = ahsc * visit per ahsc</t>
  </si>
  <si>
    <t>Date:</t>
  </si>
  <si>
    <t>It is expected that subscription growth will be slower than the other 2 revenue streams</t>
  </si>
  <si>
    <t>Info</t>
  </si>
  <si>
    <t>KPMG</t>
  </si>
  <si>
    <t>Auditor:</t>
  </si>
  <si>
    <t>Mission:</t>
  </si>
  <si>
    <t>Address 3 challenges in healthcare: access to care, affordability of care, health patient outcomes</t>
  </si>
  <si>
    <t>Got a $250k revolving credit maturing on 13.03.2031</t>
  </si>
  <si>
    <t>Market data</t>
  </si>
  <si>
    <t>Last market price for period</t>
  </si>
  <si>
    <t>Financials -&gt;</t>
  </si>
  <si>
    <t>Forecast -&gt;</t>
  </si>
  <si>
    <t>Revenue forecast</t>
  </si>
  <si>
    <t>Revenues (million)</t>
  </si>
  <si>
    <t>Revenues (thousand)</t>
  </si>
  <si>
    <t>FQ1</t>
  </si>
  <si>
    <t>FQ2</t>
  </si>
  <si>
    <t>FQ3</t>
  </si>
  <si>
    <t>Revenue growth %</t>
  </si>
  <si>
    <t>Q2-Q3-Q4</t>
  </si>
  <si>
    <t>Revenue drivers</t>
  </si>
  <si>
    <t>AHSC Growth</t>
  </si>
  <si>
    <t>Avg revenue AHSC growth</t>
  </si>
  <si>
    <t>network solutions per AHSC * AHSC</t>
  </si>
  <si>
    <t>COGS &amp; OpEx forecast</t>
  </si>
  <si>
    <t>COGS and OpEx</t>
  </si>
  <si>
    <t>COGS &amp; OpEx</t>
  </si>
  <si>
    <t>Expenses (million)</t>
  </si>
  <si>
    <t>Expenses (thousand)</t>
  </si>
  <si>
    <t>Expenses % of Revenue</t>
  </si>
  <si>
    <t>Working Capital, Capex, D&amp;A</t>
  </si>
  <si>
    <t>Working Capital</t>
  </si>
  <si>
    <t>$ (thousand)</t>
  </si>
  <si>
    <t>Accounts receivable</t>
  </si>
  <si>
    <t>Inventory</t>
  </si>
  <si>
    <t>Accounts payable</t>
  </si>
  <si>
    <t>WC metrics and drivers</t>
  </si>
  <si>
    <t>Days</t>
  </si>
  <si>
    <t>DSO</t>
  </si>
  <si>
    <t>DIO</t>
  </si>
  <si>
    <t>DPO</t>
  </si>
  <si>
    <t>Net trade cycle</t>
  </si>
  <si>
    <t>Change in SIP NWC</t>
  </si>
  <si>
    <t>Change in inventory</t>
  </si>
  <si>
    <t>Total change in NWC and less SIP</t>
  </si>
  <si>
    <t>Total change in NWC</t>
  </si>
  <si>
    <t>Change in NWC less SIP</t>
  </si>
  <si>
    <t>Investments</t>
  </si>
  <si>
    <t>% of Revenue</t>
  </si>
  <si>
    <t>% of CapEx</t>
  </si>
  <si>
    <t>Results</t>
  </si>
  <si>
    <t>From Revenue Sheet</t>
  </si>
  <si>
    <t>From COGS and OpEx Sheet</t>
  </si>
  <si>
    <t>Gross profit</t>
  </si>
  <si>
    <t>EBIT</t>
  </si>
  <si>
    <t>Drivers</t>
  </si>
  <si>
    <t>Cash Flow Statement</t>
  </si>
  <si>
    <t>From WC &amp; Investments Sheet</t>
  </si>
  <si>
    <t>Change in NWC</t>
  </si>
  <si>
    <t>UFCF</t>
  </si>
  <si>
    <t>Valuation -&gt;</t>
  </si>
  <si>
    <t>WACC</t>
  </si>
  <si>
    <t>Inputs</t>
  </si>
  <si>
    <t>Shares Outstanding</t>
  </si>
  <si>
    <t>Equity</t>
  </si>
  <si>
    <t>Debt</t>
  </si>
  <si>
    <t>Risk free rate</t>
  </si>
  <si>
    <t>Beta</t>
  </si>
  <si>
    <t>Market risk premium</t>
  </si>
  <si>
    <t>Cost of debt</t>
  </si>
  <si>
    <t>Calculations</t>
  </si>
  <si>
    <t>Debt/(Debt+Equity)</t>
  </si>
  <si>
    <t>Equity/(Debt+Equity)</t>
  </si>
  <si>
    <t>Cost of debt with tax</t>
  </si>
  <si>
    <t>Cost of equity</t>
  </si>
  <si>
    <t>WACC set manually</t>
  </si>
  <si>
    <t>DCF</t>
  </si>
  <si>
    <t>PV of FCF</t>
  </si>
  <si>
    <t>Perpetual cashflow</t>
  </si>
  <si>
    <t>Period</t>
  </si>
  <si>
    <t>PV of UFCF</t>
  </si>
  <si>
    <t>PV of Perpetual cashflow</t>
  </si>
  <si>
    <t>Input parameters</t>
  </si>
  <si>
    <t>Perpetual growth</t>
  </si>
  <si>
    <t>Total PV of Unlevered FCF</t>
  </si>
  <si>
    <t>Enterprise value</t>
  </si>
  <si>
    <t>(+) Cash</t>
  </si>
  <si>
    <t>(-) Debt</t>
  </si>
  <si>
    <t>Equity value</t>
  </si>
  <si>
    <t>Price per share</t>
  </si>
  <si>
    <t>Multiples valuations</t>
  </si>
  <si>
    <t>Revenues, earnings cash</t>
  </si>
  <si>
    <t>% Growth</t>
  </si>
  <si>
    <t>Shares</t>
  </si>
  <si>
    <t>Historical price</t>
  </si>
  <si>
    <t>Historical ratios</t>
  </si>
  <si>
    <t>Market Cap</t>
  </si>
  <si>
    <t>Cash</t>
  </si>
  <si>
    <t>EV/EBIT</t>
  </si>
  <si>
    <t>EV/UFCF</t>
  </si>
  <si>
    <t>EV/EBIT valuation</t>
  </si>
  <si>
    <t>Year 5 EBIT</t>
  </si>
  <si>
    <t>Applied EV/EBIT ratio</t>
  </si>
  <si>
    <t>Shares outstanding diluted</t>
  </si>
  <si>
    <t>PV of price per share</t>
  </si>
  <si>
    <t>Year 5 sales</t>
  </si>
  <si>
    <t>EV/UFCF valuation</t>
  </si>
  <si>
    <t>Year 5 UFCF</t>
  </si>
  <si>
    <t>Applied EV/UFCF ratio</t>
  </si>
  <si>
    <t>AVG target price</t>
  </si>
  <si>
    <t>AVG  target price</t>
  </si>
  <si>
    <t>DCF price</t>
  </si>
  <si>
    <t>EV/EBIT price</t>
  </si>
  <si>
    <t>PS price</t>
  </si>
  <si>
    <t>EV/UFCF price</t>
  </si>
  <si>
    <t>AVG price</t>
  </si>
  <si>
    <t>Current price</t>
  </si>
  <si>
    <t>Upside/Downside</t>
  </si>
  <si>
    <t>Reverse DCF</t>
  </si>
  <si>
    <t>Growth adjustment</t>
  </si>
  <si>
    <t>Current Price</t>
  </si>
  <si>
    <t>Calculated Price</t>
  </si>
  <si>
    <t>UFCF Growth</t>
  </si>
  <si>
    <t>Modify until Calculated Price is very close to Current Price</t>
  </si>
  <si>
    <t>Enterprise Value</t>
  </si>
  <si>
    <t>Compare Metrics and growth rates</t>
  </si>
  <si>
    <t>UFCF to EBIT margin</t>
  </si>
  <si>
    <t>UFCF to Revenue margin</t>
  </si>
  <si>
    <t>UFCF growth</t>
  </si>
  <si>
    <t>EBIT growth</t>
  </si>
  <si>
    <t>EBIT margin</t>
  </si>
  <si>
    <t>Adjustments</t>
  </si>
  <si>
    <t>Operating Interest</t>
  </si>
  <si>
    <t>Operating lease cost</t>
  </si>
  <si>
    <t>EBITDAR</t>
  </si>
  <si>
    <t>Cost of operating lease debt</t>
  </si>
  <si>
    <t>Operating lease interest</t>
  </si>
  <si>
    <t>From 10-K Leases note</t>
  </si>
  <si>
    <t>Operating lease amortization</t>
  </si>
  <si>
    <t>Cost of financial lease 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</si>
</sst>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164" formatCode="0.00_);[Red]\(0.00\)"/>
    <numFmt numFmtId="165" formatCode="0.0%"/>
    <numFmt numFmtId="166" formatCode="#,##0.0_);[Red]\(#,##0.0\)"/>
    <numFmt numFmtId="167" formatCode="0.00_);\(0.00\)"/>
    <numFmt numFmtId="168" formatCode="0.0"/>
    <numFmt numFmtId="169" formatCode="#,##0.0_);\(#,##0.0\)"/>
    <numFmt numFmtId="170" formatCode="0_);\(0\)"/>
  </numFmts>
  <fonts count="26" x14ac:knownFonts="1">
    <font>
      <sz val="12"/>
      <color theme="1"/>
      <name val="Aptos Narrow"/>
      <family val="2"/>
      <scheme val="minor"/>
    </font>
    <font>
      <b/>
      <sz val="12"/>
      <color theme="1"/>
      <name val="Aptos Narrow"/>
      <scheme val="minor"/>
    </font>
    <font>
      <sz val="12"/>
      <color theme="1"/>
      <name val="Aptos Narrow"/>
      <scheme val="minor"/>
    </font>
    <font>
      <b/>
      <sz val="12"/>
      <color theme="0" tint="-4.9989318521683403E-2"/>
      <name val="Aptos Narrow"/>
      <scheme val="minor"/>
    </font>
    <font>
      <b/>
      <sz val="12"/>
      <color theme="0"/>
      <name val="Aptos Narrow"/>
      <scheme val="minor"/>
    </font>
    <font>
      <sz val="8"/>
      <name val="Aptos Narrow"/>
      <family val="2"/>
      <scheme val="minor"/>
    </font>
    <font>
      <sz val="12"/>
      <color rgb="FF0070C0"/>
      <name val="Aptos Narrow"/>
      <scheme val="minor"/>
    </font>
    <font>
      <sz val="12"/>
      <color rgb="FF0070C0"/>
      <name val="Aptos Narrow"/>
      <family val="2"/>
      <scheme val="minor"/>
    </font>
    <font>
      <b/>
      <sz val="12"/>
      <color rgb="FF0070C0"/>
      <name val="Aptos Narrow"/>
      <scheme val="minor"/>
    </font>
    <font>
      <sz val="12"/>
      <color theme="1"/>
      <name val="Aptos Narrow"/>
      <family val="2"/>
      <scheme val="minor"/>
    </font>
    <font>
      <sz val="12"/>
      <color rgb="FF000000"/>
      <name val="Aptos Narrow"/>
      <family val="2"/>
      <scheme val="minor"/>
    </font>
    <font>
      <sz val="12"/>
      <color theme="9"/>
      <name val="Aptos Narrow"/>
      <family val="2"/>
      <scheme val="minor"/>
    </font>
    <font>
      <b/>
      <sz val="12"/>
      <color rgb="FFFFFFFF"/>
      <name val="Aptos Narrow"/>
      <scheme val="minor"/>
    </font>
    <font>
      <i/>
      <sz val="12"/>
      <color theme="1"/>
      <name val="Aptos Narrow"/>
      <scheme val="minor"/>
    </font>
    <font>
      <b/>
      <sz val="12"/>
      <color rgb="FFF2F2F2"/>
      <name val="Aptos Narrow"/>
      <scheme val="minor"/>
    </font>
    <font>
      <b/>
      <sz val="40"/>
      <color rgb="FF002060"/>
      <name val="Arial"/>
      <family val="2"/>
      <charset val="204"/>
    </font>
    <font>
      <b/>
      <sz val="12"/>
      <color rgb="FF002060"/>
      <name val="Arial"/>
      <family val="2"/>
      <charset val="204"/>
    </font>
    <font>
      <sz val="9"/>
      <name val="Arial"/>
      <family val="2"/>
      <charset val="204"/>
    </font>
    <font>
      <b/>
      <sz val="12"/>
      <color theme="9"/>
      <name val="Aptos Narrow"/>
      <scheme val="minor"/>
    </font>
    <font>
      <i/>
      <sz val="12"/>
      <color rgb="FF000000"/>
      <name val="Aptos Narrow"/>
      <scheme val="minor"/>
    </font>
    <font>
      <b/>
      <i/>
      <sz val="12"/>
      <color theme="1"/>
      <name val="Aptos Narrow"/>
      <scheme val="minor"/>
    </font>
    <font>
      <i/>
      <sz val="12"/>
      <color theme="9"/>
      <name val="Aptos Narrow"/>
      <scheme val="minor"/>
    </font>
    <font>
      <sz val="12"/>
      <color rgb="FF4EA72E"/>
      <name val="Aptos Narrow"/>
      <family val="2"/>
      <scheme val="minor"/>
    </font>
    <font>
      <sz val="12"/>
      <color theme="9"/>
      <name val="Aptos Narrow"/>
      <scheme val="minor"/>
    </font>
    <font>
      <b/>
      <sz val="12"/>
      <color rgb="FF4EA72E"/>
      <name val="Aptos Narrow"/>
      <scheme val="minor"/>
    </font>
    <font>
      <b/>
      <sz val="12"/>
      <color rgb="FF000000"/>
      <name val="Aptos Narrow"/>
      <scheme val="minor"/>
    </font>
  </fonts>
  <fills count="21">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FAD5"/>
        <bgColor indexed="64"/>
      </patternFill>
    </fill>
    <fill>
      <patternFill patternType="solid">
        <fgColor theme="6" tint="0.79998168889431442"/>
        <bgColor indexed="64"/>
      </patternFill>
    </fill>
    <fill>
      <patternFill patternType="solid">
        <fgColor rgb="FFC1F0C8"/>
        <bgColor rgb="FF000000"/>
      </patternFill>
    </fill>
    <fill>
      <patternFill patternType="solid">
        <fgColor rgb="FFFFFFFF"/>
        <bgColor rgb="FF000000"/>
      </patternFill>
    </fill>
    <fill>
      <patternFill patternType="solid">
        <fgColor theme="0" tint="-0.499984740745262"/>
        <bgColor indexed="64"/>
      </patternFill>
    </fill>
    <fill>
      <patternFill patternType="solid">
        <fgColor rgb="FF002060"/>
        <bgColor rgb="FF000000"/>
      </patternFill>
    </fill>
    <fill>
      <patternFill patternType="solid">
        <fgColor rgb="FF4D93D9"/>
        <bgColor rgb="FF000000"/>
      </patternFill>
    </fill>
    <fill>
      <patternFill patternType="solid">
        <fgColor theme="0" tint="-0.249977111117893"/>
        <bgColor indexed="64"/>
      </patternFill>
    </fill>
    <fill>
      <patternFill patternType="solid">
        <fgColor rgb="FFD9D9D9"/>
        <bgColor rgb="FF000000"/>
      </patternFill>
    </fill>
    <fill>
      <patternFill patternType="solid">
        <fgColor theme="2" tint="-0.249977111117893"/>
        <bgColor indexed="64"/>
      </patternFill>
    </fill>
    <fill>
      <patternFill patternType="solid">
        <fgColor theme="0"/>
        <bgColor rgb="FF000000"/>
      </patternFill>
    </fill>
    <fill>
      <patternFill patternType="solid">
        <fgColor rgb="FFADADAD"/>
        <bgColor rgb="FF000000"/>
      </patternFill>
    </fill>
    <fill>
      <patternFill patternType="solid">
        <fgColor rgb="FFFFFAD5"/>
        <bgColor rgb="FF000000"/>
      </patternFill>
    </fill>
  </fills>
  <borders count="31">
    <border>
      <left/>
      <right/>
      <top/>
      <bottom/>
      <diagonal/>
    </border>
    <border>
      <left/>
      <right/>
      <top/>
      <bottom style="thin">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thin">
        <color theme="0"/>
      </bottom>
      <diagonal/>
    </border>
    <border>
      <left/>
      <right/>
      <top/>
      <bottom style="thin">
        <color theme="2"/>
      </bottom>
      <diagonal/>
    </border>
    <border>
      <left style="thin">
        <color theme="0"/>
      </left>
      <right/>
      <top/>
      <bottom style="thin">
        <color theme="0"/>
      </bottom>
      <diagonal/>
    </border>
    <border>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9" fontId="9" fillId="0" borderId="0" applyFont="0" applyFill="0" applyBorder="0" applyAlignment="0" applyProtection="0"/>
  </cellStyleXfs>
  <cellXfs count="243">
    <xf numFmtId="0" fontId="0" fillId="0" borderId="0" xfId="0"/>
    <xf numFmtId="0" fontId="0" fillId="3" borderId="0" xfId="0" applyFill="1"/>
    <xf numFmtId="0" fontId="3" fillId="3" borderId="0" xfId="0" applyFont="1" applyFill="1" applyAlignment="1">
      <alignment horizontal="right"/>
    </xf>
    <xf numFmtId="0" fontId="3" fillId="2" borderId="0" xfId="0" applyFont="1" applyFill="1" applyAlignment="1">
      <alignment horizontal="right"/>
    </xf>
    <xf numFmtId="0" fontId="3" fillId="3" borderId="0" xfId="0" applyFont="1" applyFill="1"/>
    <xf numFmtId="0" fontId="3" fillId="2" borderId="0" xfId="0" applyFont="1" applyFill="1"/>
    <xf numFmtId="0" fontId="2" fillId="3" borderId="2" xfId="0" applyFont="1" applyFill="1" applyBorder="1"/>
    <xf numFmtId="0" fontId="1" fillId="3" borderId="0" xfId="0" applyFont="1" applyFill="1"/>
    <xf numFmtId="0" fontId="2" fillId="3" borderId="0" xfId="0" applyFont="1" applyFill="1"/>
    <xf numFmtId="0" fontId="0" fillId="4" borderId="0" xfId="0" applyFill="1"/>
    <xf numFmtId="0" fontId="2" fillId="4" borderId="2" xfId="0" applyFont="1" applyFill="1" applyBorder="1"/>
    <xf numFmtId="0" fontId="1" fillId="4" borderId="0" xfId="0" applyFont="1" applyFill="1"/>
    <xf numFmtId="0" fontId="2" fillId="4" borderId="0" xfId="0" applyFont="1" applyFill="1"/>
    <xf numFmtId="0" fontId="1" fillId="3" borderId="2" xfId="0" applyFont="1" applyFill="1" applyBorder="1"/>
    <xf numFmtId="0" fontId="3" fillId="5" borderId="2" xfId="0" applyFont="1" applyFill="1" applyBorder="1"/>
    <xf numFmtId="0" fontId="4" fillId="5" borderId="2" xfId="0" applyFont="1" applyFill="1" applyBorder="1"/>
    <xf numFmtId="0" fontId="0" fillId="3" borderId="2" xfId="0" applyFill="1" applyBorder="1"/>
    <xf numFmtId="0" fontId="1" fillId="4" borderId="1" xfId="0" applyFont="1" applyFill="1" applyBorder="1"/>
    <xf numFmtId="0" fontId="1" fillId="3" borderId="1" xfId="0" applyFont="1" applyFill="1" applyBorder="1"/>
    <xf numFmtId="0" fontId="1" fillId="4" borderId="2" xfId="0" applyFont="1" applyFill="1" applyBorder="1"/>
    <xf numFmtId="38" fontId="0" fillId="3" borderId="0" xfId="0" applyNumberFormat="1" applyFill="1"/>
    <xf numFmtId="38" fontId="1" fillId="3" borderId="0" xfId="0" applyNumberFormat="1" applyFont="1" applyFill="1"/>
    <xf numFmtId="41" fontId="1" fillId="6" borderId="1" xfId="0" applyNumberFormat="1" applyFont="1" applyFill="1" applyBorder="1"/>
    <xf numFmtId="41" fontId="1" fillId="6" borderId="0" xfId="0" applyNumberFormat="1" applyFont="1" applyFill="1"/>
    <xf numFmtId="41" fontId="1" fillId="7" borderId="1" xfId="0" applyNumberFormat="1" applyFont="1" applyFill="1" applyBorder="1"/>
    <xf numFmtId="164" fontId="2" fillId="3" borderId="0" xfId="0" applyNumberFormat="1" applyFont="1" applyFill="1"/>
    <xf numFmtId="41" fontId="1" fillId="3" borderId="0" xfId="0" applyNumberFormat="1" applyFont="1" applyFill="1"/>
    <xf numFmtId="38" fontId="6" fillId="3" borderId="0" xfId="0" applyNumberFormat="1" applyFont="1" applyFill="1"/>
    <xf numFmtId="0" fontId="6" fillId="3" borderId="0" xfId="0" applyFont="1" applyFill="1"/>
    <xf numFmtId="38" fontId="7" fillId="3" borderId="0" xfId="0" applyNumberFormat="1" applyFont="1" applyFill="1"/>
    <xf numFmtId="0" fontId="7" fillId="3" borderId="0" xfId="0" applyFont="1" applyFill="1"/>
    <xf numFmtId="164" fontId="6" fillId="3" borderId="0" xfId="0" applyNumberFormat="1" applyFont="1" applyFill="1"/>
    <xf numFmtId="164" fontId="6" fillId="3" borderId="2" xfId="0" applyNumberFormat="1" applyFont="1" applyFill="1" applyBorder="1"/>
    <xf numFmtId="38" fontId="8" fillId="3" borderId="0" xfId="0" applyNumberFormat="1" applyFont="1" applyFill="1"/>
    <xf numFmtId="38" fontId="2" fillId="3" borderId="0" xfId="0" applyNumberFormat="1" applyFont="1" applyFill="1"/>
    <xf numFmtId="4" fontId="0" fillId="3" borderId="0" xfId="0" applyNumberFormat="1" applyFill="1"/>
    <xf numFmtId="0" fontId="0" fillId="8" borderId="0" xfId="0" applyFill="1"/>
    <xf numFmtId="0" fontId="3" fillId="2" borderId="4" xfId="0" applyFont="1" applyFill="1" applyBorder="1" applyAlignment="1">
      <alignment horizontal="right"/>
    </xf>
    <xf numFmtId="0" fontId="3" fillId="5" borderId="3" xfId="0" applyFont="1" applyFill="1" applyBorder="1"/>
    <xf numFmtId="38" fontId="6" fillId="3" borderId="4" xfId="0" applyNumberFormat="1" applyFont="1" applyFill="1" applyBorder="1"/>
    <xf numFmtId="0" fontId="3" fillId="5" borderId="6" xfId="0" applyFont="1" applyFill="1" applyBorder="1" applyAlignment="1">
      <alignment horizontal="center"/>
    </xf>
    <xf numFmtId="38" fontId="0" fillId="3" borderId="7" xfId="0" applyNumberFormat="1" applyFill="1" applyBorder="1"/>
    <xf numFmtId="164" fontId="0" fillId="3" borderId="7" xfId="0" applyNumberFormat="1" applyFill="1" applyBorder="1"/>
    <xf numFmtId="164" fontId="0" fillId="3" borderId="6" xfId="0" applyNumberFormat="1" applyFill="1" applyBorder="1"/>
    <xf numFmtId="0" fontId="3" fillId="2" borderId="7" xfId="0" applyFont="1" applyFill="1" applyBorder="1" applyAlignment="1">
      <alignment horizontal="right"/>
    </xf>
    <xf numFmtId="0" fontId="3" fillId="2" borderId="7" xfId="0" applyFont="1" applyFill="1" applyBorder="1"/>
    <xf numFmtId="0" fontId="3" fillId="2" borderId="9" xfId="0" applyFont="1" applyFill="1" applyBorder="1" applyAlignment="1">
      <alignment horizontal="right"/>
    </xf>
    <xf numFmtId="0" fontId="3" fillId="2" borderId="10" xfId="0" applyFont="1" applyFill="1" applyBorder="1" applyAlignment="1">
      <alignment horizontal="right"/>
    </xf>
    <xf numFmtId="0" fontId="3" fillId="2" borderId="11" xfId="0" applyFont="1" applyFill="1" applyBorder="1" applyAlignment="1">
      <alignment horizontal="right"/>
    </xf>
    <xf numFmtId="0" fontId="3" fillId="2" borderId="12" xfId="0" applyFont="1" applyFill="1" applyBorder="1"/>
    <xf numFmtId="0" fontId="3" fillId="2" borderId="4" xfId="0" applyFont="1" applyFill="1" applyBorder="1"/>
    <xf numFmtId="38" fontId="0" fillId="3" borderId="12" xfId="0" applyNumberFormat="1" applyFill="1" applyBorder="1"/>
    <xf numFmtId="10" fontId="0" fillId="3" borderId="4" xfId="1" applyNumberFormat="1" applyFont="1" applyFill="1" applyBorder="1"/>
    <xf numFmtId="38" fontId="8" fillId="9" borderId="1" xfId="0" applyNumberFormat="1" applyFont="1" applyFill="1" applyBorder="1"/>
    <xf numFmtId="0" fontId="1" fillId="9" borderId="0" xfId="0" applyFont="1" applyFill="1"/>
    <xf numFmtId="0" fontId="1" fillId="9" borderId="1" xfId="0" applyFont="1" applyFill="1" applyBorder="1"/>
    <xf numFmtId="38" fontId="1" fillId="9" borderId="1" xfId="0" applyNumberFormat="1" applyFont="1" applyFill="1" applyBorder="1"/>
    <xf numFmtId="38" fontId="8" fillId="9" borderId="0" xfId="0" applyNumberFormat="1" applyFont="1" applyFill="1"/>
    <xf numFmtId="38" fontId="1" fillId="9" borderId="0" xfId="0" applyNumberFormat="1" applyFont="1" applyFill="1"/>
    <xf numFmtId="0" fontId="1" fillId="9" borderId="2" xfId="0" applyFont="1" applyFill="1" applyBorder="1"/>
    <xf numFmtId="38" fontId="8" fillId="9" borderId="2" xfId="0" applyNumberFormat="1" applyFont="1" applyFill="1" applyBorder="1"/>
    <xf numFmtId="38" fontId="1" fillId="9" borderId="8" xfId="0" applyNumberFormat="1" applyFont="1" applyFill="1" applyBorder="1"/>
    <xf numFmtId="38" fontId="8" fillId="9" borderId="5" xfId="0" applyNumberFormat="1" applyFont="1" applyFill="1" applyBorder="1"/>
    <xf numFmtId="0" fontId="4" fillId="2" borderId="0" xfId="0" applyFont="1" applyFill="1" applyAlignment="1">
      <alignment horizontal="left"/>
    </xf>
    <xf numFmtId="0" fontId="4" fillId="2" borderId="0" xfId="0" applyFont="1" applyFill="1"/>
    <xf numFmtId="0" fontId="0" fillId="5" borderId="0" xfId="0" applyFill="1"/>
    <xf numFmtId="0" fontId="0" fillId="7" borderId="0" xfId="0" applyFill="1" applyAlignment="1">
      <alignment horizontal="left"/>
    </xf>
    <xf numFmtId="0" fontId="0" fillId="5" borderId="2" xfId="0" applyFill="1" applyBorder="1"/>
    <xf numFmtId="10" fontId="1" fillId="9" borderId="5" xfId="1" applyNumberFormat="1" applyFont="1" applyFill="1" applyBorder="1"/>
    <xf numFmtId="10" fontId="2" fillId="3" borderId="4" xfId="1" applyNumberFormat="1" applyFont="1" applyFill="1" applyBorder="1"/>
    <xf numFmtId="10" fontId="0" fillId="3" borderId="5" xfId="1" applyNumberFormat="1" applyFont="1" applyFill="1" applyBorder="1"/>
    <xf numFmtId="38" fontId="1" fillId="9" borderId="14" xfId="0" applyNumberFormat="1" applyFont="1" applyFill="1" applyBorder="1"/>
    <xf numFmtId="38" fontId="2" fillId="3" borderId="12" xfId="0" applyNumberFormat="1" applyFont="1" applyFill="1" applyBorder="1"/>
    <xf numFmtId="164" fontId="0" fillId="3" borderId="12" xfId="0" applyNumberFormat="1" applyFill="1" applyBorder="1"/>
    <xf numFmtId="164" fontId="0" fillId="3" borderId="0" xfId="0" applyNumberFormat="1" applyFill="1"/>
    <xf numFmtId="164" fontId="0" fillId="3" borderId="14" xfId="0" applyNumberFormat="1" applyFill="1" applyBorder="1"/>
    <xf numFmtId="164" fontId="0" fillId="3" borderId="1" xfId="0" applyNumberFormat="1" applyFill="1" applyBorder="1"/>
    <xf numFmtId="9" fontId="0" fillId="3" borderId="0" xfId="1" applyFont="1" applyFill="1"/>
    <xf numFmtId="9" fontId="1" fillId="3" borderId="1" xfId="1" applyFont="1" applyFill="1" applyBorder="1"/>
    <xf numFmtId="0" fontId="1" fillId="3" borderId="15" xfId="0" applyFont="1" applyFill="1" applyBorder="1"/>
    <xf numFmtId="0" fontId="1" fillId="4" borderId="15" xfId="0" applyFont="1" applyFill="1" applyBorder="1"/>
    <xf numFmtId="9" fontId="1" fillId="3" borderId="15" xfId="1" applyFont="1" applyFill="1" applyBorder="1"/>
    <xf numFmtId="0" fontId="0" fillId="4" borderId="1" xfId="0" applyFill="1" applyBorder="1"/>
    <xf numFmtId="9" fontId="0" fillId="3" borderId="1" xfId="1" applyFont="1" applyFill="1" applyBorder="1"/>
    <xf numFmtId="0" fontId="0" fillId="3" borderId="1" xfId="0" applyFill="1" applyBorder="1"/>
    <xf numFmtId="38" fontId="8" fillId="9" borderId="4" xfId="0" applyNumberFormat="1" applyFont="1" applyFill="1" applyBorder="1"/>
    <xf numFmtId="38" fontId="8" fillId="9" borderId="3" xfId="0" applyNumberFormat="1" applyFont="1" applyFill="1" applyBorder="1"/>
    <xf numFmtId="38" fontId="6" fillId="11" borderId="0" xfId="0" applyNumberFormat="1" applyFont="1" applyFill="1"/>
    <xf numFmtId="165" fontId="0" fillId="3" borderId="0" xfId="1" applyNumberFormat="1" applyFont="1" applyFill="1" applyBorder="1"/>
    <xf numFmtId="166" fontId="2" fillId="3" borderId="0" xfId="0" applyNumberFormat="1" applyFont="1" applyFill="1"/>
    <xf numFmtId="165" fontId="0" fillId="3" borderId="0" xfId="1" applyNumberFormat="1" applyFont="1" applyFill="1"/>
    <xf numFmtId="0" fontId="0" fillId="3" borderId="4" xfId="0" applyFill="1" applyBorder="1"/>
    <xf numFmtId="0" fontId="0" fillId="3" borderId="0" xfId="0" applyFill="1" applyAlignment="1">
      <alignment horizontal="center"/>
    </xf>
    <xf numFmtId="0" fontId="10" fillId="11" borderId="0" xfId="0" applyFont="1" applyFill="1"/>
    <xf numFmtId="2" fontId="0" fillId="3" borderId="0" xfId="0" applyNumberFormat="1" applyFill="1"/>
    <xf numFmtId="38" fontId="11" fillId="3" borderId="0" xfId="0" applyNumberFormat="1" applyFont="1" applyFill="1"/>
    <xf numFmtId="165" fontId="0" fillId="8" borderId="0" xfId="1" applyNumberFormat="1" applyFont="1" applyFill="1"/>
    <xf numFmtId="10" fontId="2" fillId="3" borderId="0" xfId="0" applyNumberFormat="1" applyFont="1" applyFill="1"/>
    <xf numFmtId="0" fontId="3" fillId="5" borderId="0" xfId="0" applyFont="1" applyFill="1"/>
    <xf numFmtId="9" fontId="1" fillId="12" borderId="0" xfId="1" applyFont="1" applyFill="1" applyBorder="1"/>
    <xf numFmtId="9" fontId="0" fillId="12" borderId="0" xfId="1" applyFont="1" applyFill="1" applyBorder="1"/>
    <xf numFmtId="9" fontId="6" fillId="3" borderId="0" xfId="1" applyFont="1" applyFill="1"/>
    <xf numFmtId="10" fontId="6" fillId="3" borderId="0" xfId="1" applyNumberFormat="1" applyFont="1" applyFill="1"/>
    <xf numFmtId="10" fontId="0" fillId="8" borderId="0" xfId="1" applyNumberFormat="1" applyFont="1" applyFill="1"/>
    <xf numFmtId="3" fontId="0" fillId="3" borderId="0" xfId="0" applyNumberFormat="1" applyFill="1"/>
    <xf numFmtId="2" fontId="0" fillId="3" borderId="0" xfId="1" applyNumberFormat="1" applyFont="1" applyFill="1" applyBorder="1"/>
    <xf numFmtId="0" fontId="13" fillId="3" borderId="0" xfId="0" applyFont="1" applyFill="1"/>
    <xf numFmtId="0" fontId="13" fillId="12" borderId="0" xfId="0" applyFont="1" applyFill="1"/>
    <xf numFmtId="165" fontId="13" fillId="3" borderId="0" xfId="1" applyNumberFormat="1" applyFont="1" applyFill="1"/>
    <xf numFmtId="165" fontId="13" fillId="8" borderId="0" xfId="1" applyNumberFormat="1" applyFont="1" applyFill="1"/>
    <xf numFmtId="165" fontId="2" fillId="8" borderId="0" xfId="1" applyNumberFormat="1" applyFont="1" applyFill="1"/>
    <xf numFmtId="0" fontId="0" fillId="3" borderId="18" xfId="0" applyFill="1" applyBorder="1"/>
    <xf numFmtId="38" fontId="0" fillId="3" borderId="19" xfId="0" applyNumberFormat="1" applyFill="1" applyBorder="1"/>
    <xf numFmtId="0" fontId="0" fillId="3" borderId="20" xfId="0" applyFill="1" applyBorder="1"/>
    <xf numFmtId="3" fontId="11" fillId="3" borderId="0" xfId="0" applyNumberFormat="1" applyFont="1" applyFill="1"/>
    <xf numFmtId="40" fontId="2" fillId="3" borderId="0" xfId="0" applyNumberFormat="1" applyFont="1" applyFill="1"/>
    <xf numFmtId="10" fontId="13" fillId="8" borderId="0" xfId="1" applyNumberFormat="1" applyFont="1" applyFill="1"/>
    <xf numFmtId="10" fontId="13" fillId="3" borderId="0" xfId="1" applyNumberFormat="1" applyFont="1" applyFill="1"/>
    <xf numFmtId="38" fontId="10" fillId="11" borderId="0" xfId="0" applyNumberFormat="1" applyFont="1" applyFill="1"/>
    <xf numFmtId="37" fontId="1" fillId="9" borderId="1" xfId="0" applyNumberFormat="1" applyFont="1" applyFill="1" applyBorder="1"/>
    <xf numFmtId="37" fontId="2" fillId="3" borderId="0" xfId="0" applyNumberFormat="1" applyFont="1" applyFill="1"/>
    <xf numFmtId="167" fontId="2" fillId="3" borderId="2" xfId="0" applyNumberFormat="1" applyFont="1" applyFill="1" applyBorder="1"/>
    <xf numFmtId="37" fontId="1" fillId="9" borderId="0" xfId="0" applyNumberFormat="1" applyFont="1" applyFill="1"/>
    <xf numFmtId="37" fontId="1" fillId="9" borderId="2" xfId="0" applyNumberFormat="1" applyFont="1" applyFill="1" applyBorder="1"/>
    <xf numFmtId="0" fontId="14" fillId="14" borderId="2" xfId="0" applyFont="1" applyFill="1" applyBorder="1"/>
    <xf numFmtId="165" fontId="2" fillId="3" borderId="0" xfId="1" applyNumberFormat="1" applyFont="1" applyFill="1"/>
    <xf numFmtId="2" fontId="2" fillId="3" borderId="0" xfId="1" applyNumberFormat="1" applyFont="1" applyFill="1"/>
    <xf numFmtId="165" fontId="1" fillId="3" borderId="0" xfId="1" applyNumberFormat="1" applyFont="1" applyFill="1"/>
    <xf numFmtId="2" fontId="0" fillId="15" borderId="0" xfId="1" applyNumberFormat="1" applyFont="1" applyFill="1"/>
    <xf numFmtId="38" fontId="1" fillId="10" borderId="0" xfId="0" applyNumberFormat="1" applyFont="1" applyFill="1"/>
    <xf numFmtId="38" fontId="1" fillId="10" borderId="2" xfId="0" applyNumberFormat="1" applyFont="1" applyFill="1" applyBorder="1"/>
    <xf numFmtId="165" fontId="0" fillId="15" borderId="0" xfId="1" applyNumberFormat="1" applyFont="1" applyFill="1"/>
    <xf numFmtId="9" fontId="0" fillId="3" borderId="0" xfId="1" applyFont="1" applyFill="1" applyBorder="1"/>
    <xf numFmtId="37" fontId="1" fillId="9" borderId="15" xfId="0" applyNumberFormat="1" applyFont="1" applyFill="1" applyBorder="1"/>
    <xf numFmtId="0" fontId="10" fillId="16" borderId="0" xfId="0" applyFont="1" applyFill="1"/>
    <xf numFmtId="0" fontId="3" fillId="5" borderId="22" xfId="0" applyFont="1" applyFill="1" applyBorder="1"/>
    <xf numFmtId="38" fontId="8" fillId="10" borderId="1" xfId="0" applyNumberFormat="1" applyFont="1" applyFill="1" applyBorder="1"/>
    <xf numFmtId="168" fontId="2" fillId="3" borderId="0" xfId="0" applyNumberFormat="1" applyFont="1" applyFill="1"/>
    <xf numFmtId="10" fontId="2" fillId="3" borderId="0" xfId="1" applyNumberFormat="1" applyFont="1" applyFill="1"/>
    <xf numFmtId="0" fontId="13" fillId="3" borderId="0" xfId="0" applyFont="1" applyFill="1" applyAlignment="1">
      <alignment horizontal="center"/>
    </xf>
    <xf numFmtId="0" fontId="15" fillId="3" borderId="0" xfId="0" applyFont="1" applyFill="1" applyAlignment="1">
      <alignment vertical="top"/>
    </xf>
    <xf numFmtId="0" fontId="0" fillId="3" borderId="0" xfId="0" applyFill="1" applyAlignment="1">
      <alignment vertical="top"/>
    </xf>
    <xf numFmtId="0" fontId="16" fillId="3" borderId="0" xfId="0" applyFont="1" applyFill="1" applyAlignment="1">
      <alignment vertical="top"/>
    </xf>
    <xf numFmtId="0" fontId="17" fillId="3" borderId="0" xfId="0" applyFont="1" applyFill="1" applyAlignment="1">
      <alignment vertical="top"/>
    </xf>
    <xf numFmtId="0" fontId="17" fillId="3" borderId="4" xfId="0" applyFont="1" applyFill="1" applyBorder="1" applyAlignment="1">
      <alignment vertical="top"/>
    </xf>
    <xf numFmtId="0" fontId="4" fillId="2" borderId="23" xfId="0" applyFont="1" applyFill="1" applyBorder="1" applyAlignment="1">
      <alignment horizontal="center"/>
    </xf>
    <xf numFmtId="0" fontId="10" fillId="11" borderId="0" xfId="0" applyFont="1" applyFill="1" applyAlignment="1">
      <alignment vertical="top"/>
    </xf>
    <xf numFmtId="0" fontId="4" fillId="2" borderId="23" xfId="0" applyFont="1" applyFill="1" applyBorder="1" applyAlignment="1">
      <alignment horizontal="left"/>
    </xf>
    <xf numFmtId="37" fontId="11" fillId="3" borderId="0" xfId="0" applyNumberFormat="1" applyFont="1" applyFill="1"/>
    <xf numFmtId="37" fontId="11" fillId="3" borderId="26" xfId="0" applyNumberFormat="1" applyFont="1" applyFill="1" applyBorder="1"/>
    <xf numFmtId="37" fontId="0" fillId="3" borderId="0" xfId="0" applyNumberFormat="1" applyFill="1"/>
    <xf numFmtId="0" fontId="0" fillId="3" borderId="0" xfId="0" applyFill="1" applyAlignment="1">
      <alignment horizontal="left"/>
    </xf>
    <xf numFmtId="37" fontId="18" fillId="3" borderId="0" xfId="0" applyNumberFormat="1" applyFont="1" applyFill="1"/>
    <xf numFmtId="37" fontId="18" fillId="3" borderId="26" xfId="0" applyNumberFormat="1" applyFont="1" applyFill="1" applyBorder="1"/>
    <xf numFmtId="37" fontId="1" fillId="3" borderId="0" xfId="0" applyNumberFormat="1" applyFont="1" applyFill="1"/>
    <xf numFmtId="0" fontId="1" fillId="17" borderId="0" xfId="0" applyFont="1" applyFill="1"/>
    <xf numFmtId="165" fontId="13" fillId="3" borderId="26" xfId="1" applyNumberFormat="1" applyFont="1" applyFill="1" applyBorder="1"/>
    <xf numFmtId="165" fontId="20" fillId="3" borderId="0" xfId="1" applyNumberFormat="1" applyFont="1" applyFill="1"/>
    <xf numFmtId="165" fontId="20" fillId="3" borderId="26" xfId="1" applyNumberFormat="1" applyFont="1" applyFill="1" applyBorder="1"/>
    <xf numFmtId="38" fontId="0" fillId="3" borderId="0" xfId="0" applyNumberFormat="1" applyFill="1" applyAlignment="1">
      <alignment horizontal="left"/>
    </xf>
    <xf numFmtId="0" fontId="19" fillId="11" borderId="0" xfId="0" applyFont="1" applyFill="1" applyAlignment="1">
      <alignment horizontal="center"/>
    </xf>
    <xf numFmtId="3" fontId="21" fillId="3" borderId="26" xfId="1" applyNumberFormat="1" applyFont="1" applyFill="1" applyBorder="1"/>
    <xf numFmtId="165" fontId="22" fillId="11" borderId="0" xfId="0" applyNumberFormat="1" applyFont="1" applyFill="1"/>
    <xf numFmtId="165" fontId="23" fillId="3" borderId="26" xfId="1" applyNumberFormat="1" applyFont="1" applyFill="1" applyBorder="1"/>
    <xf numFmtId="10" fontId="22" fillId="11" borderId="0" xfId="0" applyNumberFormat="1" applyFont="1" applyFill="1"/>
    <xf numFmtId="10" fontId="23" fillId="3" borderId="26" xfId="1" applyNumberFormat="1" applyFont="1" applyFill="1" applyBorder="1"/>
    <xf numFmtId="3" fontId="23" fillId="3" borderId="26" xfId="1" applyNumberFormat="1" applyFont="1" applyFill="1" applyBorder="1"/>
    <xf numFmtId="2" fontId="11" fillId="3" borderId="0" xfId="0" applyNumberFormat="1" applyFont="1" applyFill="1"/>
    <xf numFmtId="2" fontId="23" fillId="3" borderId="26" xfId="1" applyNumberFormat="1" applyFont="1" applyFill="1" applyBorder="1"/>
    <xf numFmtId="10" fontId="11" fillId="3" borderId="0" xfId="0" applyNumberFormat="1" applyFont="1" applyFill="1"/>
    <xf numFmtId="38" fontId="24" fillId="11" borderId="26" xfId="0" applyNumberFormat="1" applyFont="1" applyFill="1" applyBorder="1"/>
    <xf numFmtId="38" fontId="24" fillId="11" borderId="0" xfId="0" applyNumberFormat="1" applyFont="1" applyFill="1"/>
    <xf numFmtId="38" fontId="22" fillId="11" borderId="0" xfId="0" applyNumberFormat="1" applyFont="1" applyFill="1"/>
    <xf numFmtId="38" fontId="22" fillId="11" borderId="26" xfId="0" applyNumberFormat="1" applyFont="1" applyFill="1" applyBorder="1"/>
    <xf numFmtId="0" fontId="4" fillId="3" borderId="0" xfId="0" applyFont="1" applyFill="1" applyAlignment="1">
      <alignment horizontal="center"/>
    </xf>
    <xf numFmtId="0" fontId="4" fillId="3" borderId="0" xfId="0" applyFont="1" applyFill="1" applyAlignment="1">
      <alignment horizontal="left"/>
    </xf>
    <xf numFmtId="0" fontId="4" fillId="3" borderId="0" xfId="0" applyFont="1" applyFill="1"/>
    <xf numFmtId="37" fontId="23" fillId="3" borderId="0" xfId="0" applyNumberFormat="1" applyFont="1" applyFill="1"/>
    <xf numFmtId="37" fontId="23" fillId="3" borderId="26" xfId="0" applyNumberFormat="1" applyFont="1" applyFill="1" applyBorder="1"/>
    <xf numFmtId="37" fontId="22" fillId="11" borderId="0" xfId="0" applyNumberFormat="1" applyFont="1" applyFill="1"/>
    <xf numFmtId="37" fontId="22" fillId="11" borderId="26" xfId="0" applyNumberFormat="1" applyFont="1" applyFill="1" applyBorder="1"/>
    <xf numFmtId="38" fontId="24" fillId="18" borderId="0" xfId="0" applyNumberFormat="1" applyFont="1" applyFill="1"/>
    <xf numFmtId="38" fontId="22" fillId="18" borderId="0" xfId="0" applyNumberFormat="1" applyFont="1" applyFill="1"/>
    <xf numFmtId="169" fontId="0" fillId="11" borderId="0" xfId="0" applyNumberFormat="1" applyFill="1"/>
    <xf numFmtId="169" fontId="0" fillId="11" borderId="26" xfId="0" applyNumberFormat="1" applyFill="1" applyBorder="1"/>
    <xf numFmtId="168" fontId="0" fillId="8" borderId="0" xfId="0" applyNumberFormat="1" applyFill="1"/>
    <xf numFmtId="37" fontId="0" fillId="11" borderId="0" xfId="0" applyNumberFormat="1" applyFill="1"/>
    <xf numFmtId="37" fontId="0" fillId="11" borderId="26" xfId="0" applyNumberFormat="1" applyFill="1" applyBorder="1"/>
    <xf numFmtId="165" fontId="13" fillId="11" borderId="0" xfId="1" applyNumberFormat="1" applyFont="1" applyFill="1"/>
    <xf numFmtId="165" fontId="13" fillId="11" borderId="26" xfId="1" applyNumberFormat="1" applyFont="1" applyFill="1" applyBorder="1"/>
    <xf numFmtId="169" fontId="0" fillId="18" borderId="0" xfId="0" applyNumberFormat="1" applyFill="1"/>
    <xf numFmtId="37" fontId="1" fillId="3" borderId="26" xfId="0" applyNumberFormat="1" applyFont="1" applyFill="1" applyBorder="1"/>
    <xf numFmtId="0" fontId="10" fillId="11" borderId="0" xfId="0" applyFont="1" applyFill="1" applyAlignment="1">
      <alignment horizontal="left"/>
    </xf>
    <xf numFmtId="10" fontId="11" fillId="3" borderId="26" xfId="0" applyNumberFormat="1" applyFont="1" applyFill="1" applyBorder="1"/>
    <xf numFmtId="10" fontId="0" fillId="8" borderId="0" xfId="0" applyNumberFormat="1" applyFill="1"/>
    <xf numFmtId="37" fontId="2" fillId="3" borderId="26" xfId="0" applyNumberFormat="1" applyFont="1" applyFill="1" applyBorder="1"/>
    <xf numFmtId="4" fontId="23" fillId="3" borderId="0" xfId="0" applyNumberFormat="1" applyFont="1" applyFill="1"/>
    <xf numFmtId="3" fontId="2" fillId="3" borderId="0" xfId="0" applyNumberFormat="1" applyFont="1" applyFill="1"/>
    <xf numFmtId="10" fontId="23" fillId="3" borderId="0" xfId="1" applyNumberFormat="1" applyFont="1" applyFill="1"/>
    <xf numFmtId="0" fontId="25" fillId="19" borderId="0" xfId="0" applyFont="1" applyFill="1"/>
    <xf numFmtId="37" fontId="2" fillId="17" borderId="26" xfId="0" applyNumberFormat="1" applyFont="1" applyFill="1" applyBorder="1"/>
    <xf numFmtId="10" fontId="2" fillId="8" borderId="0" xfId="1" applyNumberFormat="1" applyFont="1" applyFill="1"/>
    <xf numFmtId="0" fontId="0" fillId="7" borderId="27" xfId="0" applyFill="1" applyBorder="1"/>
    <xf numFmtId="167" fontId="0" fillId="7" borderId="28" xfId="0" applyNumberFormat="1" applyFill="1" applyBorder="1"/>
    <xf numFmtId="38" fontId="11" fillId="3" borderId="26" xfId="0" applyNumberFormat="1" applyFont="1" applyFill="1" applyBorder="1"/>
    <xf numFmtId="165" fontId="19" fillId="11" borderId="0" xfId="0" applyNumberFormat="1" applyFont="1" applyFill="1"/>
    <xf numFmtId="165" fontId="19" fillId="11" borderId="26" xfId="0" applyNumberFormat="1" applyFont="1" applyFill="1" applyBorder="1"/>
    <xf numFmtId="165" fontId="19" fillId="20" borderId="0" xfId="0" applyNumberFormat="1" applyFont="1" applyFill="1"/>
    <xf numFmtId="0" fontId="11" fillId="3" borderId="0" xfId="0" applyFont="1" applyFill="1"/>
    <xf numFmtId="0" fontId="11" fillId="3" borderId="26" xfId="0" applyFont="1" applyFill="1" applyBorder="1"/>
    <xf numFmtId="2" fontId="1" fillId="3" borderId="0" xfId="0" applyNumberFormat="1" applyFont="1" applyFill="1"/>
    <xf numFmtId="2" fontId="1" fillId="3" borderId="26" xfId="0" applyNumberFormat="1" applyFont="1" applyFill="1" applyBorder="1"/>
    <xf numFmtId="3" fontId="0" fillId="3" borderId="26" xfId="0" applyNumberFormat="1" applyFill="1" applyBorder="1"/>
    <xf numFmtId="3" fontId="11" fillId="3" borderId="26" xfId="0" applyNumberFormat="1" applyFont="1" applyFill="1" applyBorder="1"/>
    <xf numFmtId="10" fontId="0" fillId="3" borderId="0" xfId="0" applyNumberFormat="1" applyFill="1"/>
    <xf numFmtId="2" fontId="0" fillId="8" borderId="0" xfId="0" applyNumberFormat="1" applyFill="1"/>
    <xf numFmtId="167" fontId="0" fillId="3" borderId="0" xfId="0" applyNumberFormat="1" applyFill="1"/>
    <xf numFmtId="0" fontId="0" fillId="7" borderId="18" xfId="0" applyFill="1" applyBorder="1"/>
    <xf numFmtId="167" fontId="0" fillId="7" borderId="19" xfId="0" applyNumberFormat="1" applyFill="1" applyBorder="1"/>
    <xf numFmtId="10" fontId="2" fillId="8" borderId="21" xfId="1" applyNumberFormat="1" applyFont="1" applyFill="1" applyBorder="1"/>
    <xf numFmtId="10" fontId="2" fillId="8" borderId="19" xfId="1" applyNumberFormat="1" applyFont="1" applyFill="1" applyBorder="1"/>
    <xf numFmtId="10" fontId="2" fillId="3" borderId="19" xfId="1" applyNumberFormat="1" applyFont="1" applyFill="1" applyBorder="1"/>
    <xf numFmtId="37" fontId="0" fillId="3" borderId="19" xfId="0" applyNumberFormat="1" applyFill="1" applyBorder="1"/>
    <xf numFmtId="37" fontId="2" fillId="3" borderId="21" xfId="0" applyNumberFormat="1" applyFont="1" applyFill="1" applyBorder="1"/>
    <xf numFmtId="0" fontId="1" fillId="3" borderId="18" xfId="0" applyFont="1" applyFill="1" applyBorder="1"/>
    <xf numFmtId="37" fontId="1" fillId="3" borderId="19" xfId="0" applyNumberFormat="1" applyFont="1" applyFill="1" applyBorder="1"/>
    <xf numFmtId="0" fontId="0" fillId="7" borderId="29" xfId="0" applyFill="1" applyBorder="1"/>
    <xf numFmtId="167" fontId="0" fillId="7" borderId="30" xfId="0" applyNumberFormat="1" applyFill="1" applyBorder="1"/>
    <xf numFmtId="3" fontId="0" fillId="8" borderId="0" xfId="0" applyNumberFormat="1" applyFill="1"/>
    <xf numFmtId="170" fontId="4" fillId="2" borderId="0" xfId="0" applyNumberFormat="1" applyFont="1" applyFill="1"/>
    <xf numFmtId="0" fontId="12" fillId="13" borderId="24" xfId="0" applyFont="1" applyFill="1" applyBorder="1" applyAlignment="1">
      <alignment horizontal="center"/>
    </xf>
    <xf numFmtId="0" fontId="4" fillId="2" borderId="25" xfId="0" applyFont="1" applyFill="1" applyBorder="1" applyAlignment="1">
      <alignment horizontal="center"/>
    </xf>
    <xf numFmtId="0" fontId="4" fillId="2" borderId="23" xfId="0" applyFont="1" applyFill="1" applyBorder="1" applyAlignment="1">
      <alignment horizontal="center"/>
    </xf>
    <xf numFmtId="0" fontId="4" fillId="2" borderId="0" xfId="0" applyFont="1" applyFill="1" applyAlignment="1">
      <alignment horizontal="center"/>
    </xf>
    <xf numFmtId="0" fontId="4" fillId="2" borderId="4" xfId="0" applyFont="1" applyFill="1" applyBorder="1" applyAlignment="1">
      <alignment horizontal="center"/>
    </xf>
    <xf numFmtId="0" fontId="4" fillId="2" borderId="12" xfId="0" applyFont="1" applyFill="1" applyBorder="1" applyAlignment="1">
      <alignment horizontal="center"/>
    </xf>
    <xf numFmtId="0" fontId="3" fillId="5" borderId="13" xfId="0" applyFont="1" applyFill="1" applyBorder="1" applyAlignment="1">
      <alignment horizontal="center"/>
    </xf>
    <xf numFmtId="0" fontId="3" fillId="5" borderId="2" xfId="0" applyFont="1" applyFill="1" applyBorder="1" applyAlignment="1">
      <alignment horizontal="center"/>
    </xf>
    <xf numFmtId="0" fontId="3" fillId="5" borderId="3" xfId="0" applyFont="1" applyFill="1" applyBorder="1" applyAlignment="1">
      <alignment horizontal="center"/>
    </xf>
    <xf numFmtId="0" fontId="4" fillId="3" borderId="0" xfId="0" applyFont="1" applyFill="1" applyAlignment="1">
      <alignment horizontal="center"/>
    </xf>
    <xf numFmtId="0" fontId="4" fillId="2" borderId="16" xfId="0" applyFont="1" applyFill="1" applyBorder="1" applyAlignment="1">
      <alignment horizontal="center"/>
    </xf>
    <xf numFmtId="0" fontId="4" fillId="2" borderId="17" xfId="0" applyFont="1" applyFill="1" applyBorder="1" applyAlignment="1">
      <alignment horizontal="center"/>
    </xf>
    <xf numFmtId="0" fontId="0" fillId="3" borderId="0" xfId="0" applyFill="1" applyAlignment="1">
      <alignment horizontal="left"/>
    </xf>
  </cellXfs>
  <cellStyles count="2">
    <cellStyle name="Normal" xfId="0" builtinId="0"/>
    <cellStyle name="Percent" xfId="1" builtinId="5"/>
  </cellStyles>
  <dxfs count="0"/>
  <tableStyles count="0" defaultTableStyle="TableStyleMedium2" defaultPivotStyle="PivotStyleLight16"/>
  <colors>
    <mruColors>
      <color rgb="FFFFFA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3</xdr:col>
      <xdr:colOff>128348</xdr:colOff>
      <xdr:row>16</xdr:row>
      <xdr:rowOff>20266</xdr:rowOff>
    </xdr:from>
    <xdr:to>
      <xdr:col>3</xdr:col>
      <xdr:colOff>716064</xdr:colOff>
      <xdr:row>16</xdr:row>
      <xdr:rowOff>216170</xdr:rowOff>
    </xdr:to>
    <xdr:sp macro="" textlink="">
      <xdr:nvSpPr>
        <xdr:cNvPr id="2" name="Right Arrow 1">
          <a:extLst>
            <a:ext uri="{FF2B5EF4-FFF2-40B4-BE49-F238E27FC236}">
              <a16:creationId xmlns:a16="http://schemas.microsoft.com/office/drawing/2014/main" id="{0753F829-B582-6140-9C15-525B1B12AAF8}"/>
            </a:ext>
          </a:extLst>
        </xdr:cNvPr>
        <xdr:cNvSpPr/>
      </xdr:nvSpPr>
      <xdr:spPr>
        <a:xfrm rot="10800000">
          <a:off x="3544648" y="3258766"/>
          <a:ext cx="587716" cy="19590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olumes/KINGSTON/MyStockData/Finance-StockLists/1.%20List_AutomaticData.xlsx" TargetMode="External"/><Relationship Id="rId1" Type="http://schemas.openxmlformats.org/officeDocument/2006/relationships/externalLinkPath" Target="1.%20List_Automatic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olumes/KINGSTON/MyStockData/Finance-StockLists/QCOM.xlsx" TargetMode="External"/><Relationship Id="rId1" Type="http://schemas.openxmlformats.org/officeDocument/2006/relationships/externalLinkPath" Target="Q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7">
          <cell r="C7">
            <v>9.0500000000000007</v>
          </cell>
          <cell r="F7">
            <v>0.88770000000000004</v>
          </cell>
        </row>
        <row r="10">
          <cell r="C10">
            <v>45.42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Financials -&gt;"/>
      <sheetName val="Statement"/>
      <sheetName val="Analysis -&gt;"/>
      <sheetName val="Basic"/>
      <sheetName val="Yearly Analysis"/>
      <sheetName val="Quarter analysis"/>
      <sheetName val="Graphs Year"/>
      <sheetName val="Graphs Quarter"/>
      <sheetName val="Forecast -&gt;"/>
      <sheetName val="Revenue"/>
      <sheetName val="COGS &amp; OpEx"/>
      <sheetName val="WC &amp; Investments"/>
      <sheetName val="FCF &amp; Other"/>
      <sheetName val="Valuation -&gt;"/>
      <sheetName val="WACC"/>
      <sheetName val="DCF"/>
      <sheetName val="Multiples"/>
      <sheetName val="AVG target price"/>
      <sheetName val="Reverse DCF"/>
    </sheetNames>
    <sheetDataSet>
      <sheetData sheetId="0"/>
      <sheetData sheetId="1"/>
      <sheetData sheetId="2"/>
      <sheetData sheetId="3"/>
      <sheetData sheetId="4"/>
      <sheetData sheetId="5"/>
      <sheetData sheetId="6"/>
      <sheetData sheetId="7"/>
      <sheetData sheetId="8"/>
      <sheetData sheetId="9"/>
      <sheetData sheetId="10">
        <row r="11">
          <cell r="AB11"/>
          <cell r="AC11"/>
        </row>
      </sheetData>
      <sheetData sheetId="11"/>
      <sheetData sheetId="12"/>
      <sheetData sheetId="13"/>
      <sheetData sheetId="14"/>
      <sheetData sheetId="15"/>
      <sheetData sheetId="16"/>
      <sheetData sheetId="17"/>
      <sheetData sheetId="18"/>
      <sheetData sheetId="19"/>
    </sheetDataSet>
  </externalBook>
</externalLink>
</file>

<file path=xl/persons/person.xml><?xml version="1.0" encoding="utf-8"?>
<personList xmlns="http://schemas.microsoft.com/office/spreadsheetml/2018/threadedcomments" xmlns:x="http://schemas.openxmlformats.org/spreadsheetml/2006/main">
  <person displayName="adi dumitras" id="{C1D857D3-F592-2946-8369-15D188CA547D}" userId="b24535bb88af1c42"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4" dT="2026-05-09T21:32:35.87" personId="{C1D857D3-F592-2946-8369-15D188CA547D}" id="{28FFD7B9-6059-4543-B530-AE286539E9DC}">
    <text>Bond yield or for lease only debt search 10-K for Note 8 Debt and Finance lease</text>
  </threadedComment>
</ThreadedComments>
</file>

<file path=xl/threadedComments/threadedComment2.xml><?xml version="1.0" encoding="utf-8"?>
<ThreadedComments xmlns="http://schemas.microsoft.com/office/spreadsheetml/2018/threadedcomments" xmlns:x="http://schemas.openxmlformats.org/spreadsheetml/2006/main">
  <threadedComment ref="B173" dT="2026-01-31T00:39:50.80" personId="{C1D857D3-F592-2946-8369-15D188CA547D}" id="{47DC635B-B951-894F-8927-C861B2D344C7}">
    <text>Actual number (not K or M)</text>
  </threadedComment>
  <threadedComment ref="B194" dT="2026-04-25T21:52:20.00" personId="{C1D857D3-F592-2946-8369-15D188CA547D}" id="{D394081D-FAF9-AB4C-8C13-0F2C7A4C0BC4}">
    <text>Take the closing price of the last day of the period. In case the price has seen heavy fluctuations make an average of the last days. Info found at Yahoo Finance in the Historical Data section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B163" dT="2026-01-31T00:39:50.80" personId="{C1D857D3-F592-2946-8369-15D188CA547D}" id="{C0E44C63-9A04-C843-874D-703EEBBB0F28}">
    <text>Actual number (not K or M)</text>
  </threadedComment>
</ThreadedComments>
</file>

<file path=xl/threadedComments/threadedComment4.xml><?xml version="1.0" encoding="utf-8"?>
<ThreadedComments xmlns="http://schemas.microsoft.com/office/spreadsheetml/2018/threadedcomments" xmlns:x="http://schemas.openxmlformats.org/spreadsheetml/2006/main">
  <threadedComment ref="B35" dT="2026-04-25T20:40:52.15" personId="{C1D857D3-F592-2946-8369-15D188CA547D}" id="{D02FF5CB-BB6F-684F-B674-508B6EB73B98}">
    <text>We use here the inverted signg as are used in the CashFlow statement which means we will Add the change in NWC to the NOPAT instead of subtracting it</text>
  </threadedComment>
</ThreadedComments>
</file>

<file path=xl/threadedComments/threadedComment5.xml><?xml version="1.0" encoding="utf-8"?>
<ThreadedComments xmlns="http://schemas.microsoft.com/office/spreadsheetml/2018/threadedcomments" xmlns:x="http://schemas.openxmlformats.org/spreadsheetml/2006/main">
  <threadedComment ref="B9" dT="2026-02-28T14:18:18.18" personId="{C1D857D3-F592-2946-8369-15D188CA547D}" id="{97B820BD-138F-064E-B3B8-543D2F51466A}">
    <text>10 year government bond yield</text>
  </threadedComment>
  <threadedComment ref="B13" dT="2026-02-28T14:33:08.42" personId="{C1D857D3-F592-2946-8369-15D188CA547D}" id="{694812DC-D762-CE48-A17C-B69109D937D7}">
    <text>Bond yield or for lease only debt search 10-K for Note 8 Debt and Finance lease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A0442F6-B781-3744-BD57-82D74EB0F258}">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3889E-47F7-E641-9FC7-1CBF49DF9C8A}">
  <dimension ref="A2:G55"/>
  <sheetViews>
    <sheetView topLeftCell="A42" zoomScale="169" workbookViewId="0">
      <selection activeCell="B47" sqref="B47:B55"/>
    </sheetView>
  </sheetViews>
  <sheetFormatPr baseColWidth="10" defaultRowHeight="16" x14ac:dyDescent="0.2"/>
  <cols>
    <col min="1" max="1" width="10.83203125" style="1"/>
    <col min="2" max="2" width="23.83203125" style="1" customWidth="1"/>
    <col min="3" max="16384" width="10.83203125" style="1"/>
  </cols>
  <sheetData>
    <row r="2" spans="2:5" x14ac:dyDescent="0.2">
      <c r="B2" s="1" t="s">
        <v>2</v>
      </c>
      <c r="C2" s="36" t="s">
        <v>118</v>
      </c>
    </row>
    <row r="3" spans="2:5" x14ac:dyDescent="0.2">
      <c r="B3" s="1" t="s">
        <v>73</v>
      </c>
      <c r="C3" s="35">
        <f>[1]Sheet1!$C$7</f>
        <v>9.0500000000000007</v>
      </c>
    </row>
    <row r="4" spans="2:5" x14ac:dyDescent="0.2">
      <c r="B4" s="1" t="s">
        <v>389</v>
      </c>
      <c r="C4" s="110">
        <v>7.4999999999999997E-2</v>
      </c>
      <c r="E4" s="94"/>
    </row>
    <row r="5" spans="2:5" x14ac:dyDescent="0.2">
      <c r="B5" s="1" t="s">
        <v>393</v>
      </c>
      <c r="C5" s="110">
        <v>7.8E-2</v>
      </c>
      <c r="E5" s="94"/>
    </row>
    <row r="7" spans="2:5" x14ac:dyDescent="0.2">
      <c r="E7" s="35"/>
    </row>
    <row r="8" spans="2:5" x14ac:dyDescent="0.2">
      <c r="B8" s="1" t="s">
        <v>3</v>
      </c>
      <c r="C8" s="1" t="s">
        <v>96</v>
      </c>
    </row>
    <row r="10" spans="2:5" x14ac:dyDescent="0.2">
      <c r="B10" s="1" t="s">
        <v>224</v>
      </c>
      <c r="C10" s="104">
        <f>C3*'Statement Q'!J147</f>
        <v>549905.15</v>
      </c>
    </row>
    <row r="11" spans="2:5" x14ac:dyDescent="0.2">
      <c r="B11" s="1" t="s">
        <v>226</v>
      </c>
      <c r="C11" s="104">
        <f>(Statements!S48+Statements!S49+Statements!S56+Statements!S57)-Statements!S26</f>
        <v>28619</v>
      </c>
    </row>
    <row r="12" spans="2:5" x14ac:dyDescent="0.2">
      <c r="B12" s="1" t="s">
        <v>227</v>
      </c>
      <c r="C12" s="104">
        <f>C10+C11</f>
        <v>578524.15</v>
      </c>
    </row>
    <row r="14" spans="2:5" x14ac:dyDescent="0.2">
      <c r="B14" s="1" t="s">
        <v>195</v>
      </c>
      <c r="C14" s="94">
        <f>C3/'Statement Q'!N25</f>
        <v>239.06756287944492</v>
      </c>
    </row>
    <row r="15" spans="2:5" x14ac:dyDescent="0.2">
      <c r="B15" s="1" t="s">
        <v>196</v>
      </c>
      <c r="C15" s="94">
        <f>$C$3/('Statement Q'!$N$5/'Statement Q'!$N$23)</f>
        <v>1.1471080398925491</v>
      </c>
    </row>
    <row r="16" spans="2:5" x14ac:dyDescent="0.2">
      <c r="C16" s="20"/>
    </row>
    <row r="19" spans="2:3" x14ac:dyDescent="0.2">
      <c r="B19" s="1" t="s">
        <v>211</v>
      </c>
      <c r="C19" s="20">
        <v>3302</v>
      </c>
    </row>
    <row r="20" spans="2:3" x14ac:dyDescent="0.2">
      <c r="B20" s="1" t="s">
        <v>212</v>
      </c>
      <c r="C20" s="20">
        <f>'Statement Q'!J147</f>
        <v>60763</v>
      </c>
    </row>
    <row r="21" spans="2:3" x14ac:dyDescent="0.2">
      <c r="B21" s="1" t="s">
        <v>213</v>
      </c>
      <c r="C21" s="125">
        <f>C19/C20</f>
        <v>5.4342280664220005E-2</v>
      </c>
    </row>
    <row r="23" spans="2:3" x14ac:dyDescent="0.2">
      <c r="B23" s="1" t="s">
        <v>214</v>
      </c>
    </row>
    <row r="24" spans="2:3" x14ac:dyDescent="0.2">
      <c r="B24" s="1" t="s">
        <v>215</v>
      </c>
    </row>
    <row r="25" spans="2:3" x14ac:dyDescent="0.2">
      <c r="B25" s="1" t="s">
        <v>216</v>
      </c>
    </row>
    <row r="26" spans="2:3" x14ac:dyDescent="0.2">
      <c r="B26" s="1" t="s">
        <v>217</v>
      </c>
    </row>
    <row r="27" spans="2:3" x14ac:dyDescent="0.2">
      <c r="B27" s="1" t="s">
        <v>218</v>
      </c>
    </row>
    <row r="29" spans="2:3" x14ac:dyDescent="0.2">
      <c r="B29" s="1" t="s">
        <v>219</v>
      </c>
      <c r="C29" s="20">
        <f>Statements!S14*(1-'Statement Y'!G151)</f>
        <v>-6290.2320331117526</v>
      </c>
    </row>
    <row r="30" spans="2:3" x14ac:dyDescent="0.2">
      <c r="B30" s="1" t="s">
        <v>220</v>
      </c>
      <c r="C30" s="20">
        <f>Statements!S46-Statements!S26-Statements!S27</f>
        <v>556961</v>
      </c>
    </row>
    <row r="31" spans="2:3" x14ac:dyDescent="0.2">
      <c r="B31" s="1" t="s">
        <v>221</v>
      </c>
      <c r="C31" s="20">
        <f>SUM(Statements!S50:S54)+Statements!S47</f>
        <v>174016</v>
      </c>
    </row>
    <row r="32" spans="2:3" x14ac:dyDescent="0.2">
      <c r="B32" s="1" t="s">
        <v>222</v>
      </c>
      <c r="C32" s="20">
        <f>C30-C31</f>
        <v>382945</v>
      </c>
    </row>
    <row r="33" spans="1:7" x14ac:dyDescent="0.2">
      <c r="B33" s="1" t="s">
        <v>223</v>
      </c>
      <c r="C33" s="125">
        <f>C29/C32</f>
        <v>-1.6425941148498487E-2</v>
      </c>
    </row>
    <row r="37" spans="1:7" x14ac:dyDescent="0.2">
      <c r="A37" s="233" t="s">
        <v>256</v>
      </c>
      <c r="B37" s="233"/>
      <c r="C37" s="233"/>
      <c r="D37" s="233"/>
      <c r="E37" s="233"/>
      <c r="F37" s="233"/>
      <c r="G37" s="233"/>
    </row>
    <row r="39" spans="1:7" x14ac:dyDescent="0.2">
      <c r="A39" s="1" t="s">
        <v>259</v>
      </c>
      <c r="B39" s="1" t="s">
        <v>260</v>
      </c>
    </row>
    <row r="40" spans="1:7" x14ac:dyDescent="0.2">
      <c r="A40" s="1" t="s">
        <v>258</v>
      </c>
      <c r="B40" s="1" t="s">
        <v>257</v>
      </c>
    </row>
    <row r="44" spans="1:7" x14ac:dyDescent="0.2">
      <c r="A44" s="233" t="s">
        <v>243</v>
      </c>
      <c r="B44" s="233"/>
      <c r="C44" s="233"/>
      <c r="D44" s="233"/>
      <c r="E44" s="233"/>
      <c r="F44" s="233"/>
      <c r="G44" s="233"/>
    </row>
    <row r="45" spans="1:7" ht="8" customHeight="1" x14ac:dyDescent="0.2"/>
    <row r="46" spans="1:7" x14ac:dyDescent="0.2">
      <c r="A46" s="7" t="s">
        <v>254</v>
      </c>
      <c r="B46" s="7" t="s">
        <v>244</v>
      </c>
      <c r="C46" s="7" t="s">
        <v>233</v>
      </c>
      <c r="D46" s="8"/>
    </row>
    <row r="47" spans="1:7" x14ac:dyDescent="0.2">
      <c r="B47" s="1" t="s">
        <v>245</v>
      </c>
    </row>
    <row r="48" spans="1:7" x14ac:dyDescent="0.2">
      <c r="B48" s="1" t="s">
        <v>246</v>
      </c>
    </row>
    <row r="49" spans="2:2" x14ac:dyDescent="0.2">
      <c r="B49" s="1" t="s">
        <v>247</v>
      </c>
    </row>
    <row r="50" spans="2:2" x14ac:dyDescent="0.2">
      <c r="B50" s="1" t="s">
        <v>248</v>
      </c>
    </row>
    <row r="51" spans="2:2" x14ac:dyDescent="0.2">
      <c r="B51" s="1" t="s">
        <v>249</v>
      </c>
    </row>
    <row r="52" spans="2:2" x14ac:dyDescent="0.2">
      <c r="B52" s="1" t="s">
        <v>250</v>
      </c>
    </row>
    <row r="53" spans="2:2" x14ac:dyDescent="0.2">
      <c r="B53" s="1" t="s">
        <v>252</v>
      </c>
    </row>
    <row r="54" spans="2:2" x14ac:dyDescent="0.2">
      <c r="B54" s="1" t="s">
        <v>255</v>
      </c>
    </row>
    <row r="55" spans="2:2" x14ac:dyDescent="0.2">
      <c r="B55" s="1" t="s">
        <v>261</v>
      </c>
    </row>
  </sheetData>
  <mergeCells count="2">
    <mergeCell ref="A44:G44"/>
    <mergeCell ref="A37:G3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963D6-7147-6D47-B088-486CDFC5408D}">
  <sheetPr>
    <tabColor theme="6" tint="0.59999389629810485"/>
  </sheetPr>
  <dimension ref="B13"/>
  <sheetViews>
    <sheetView workbookViewId="0">
      <selection activeCell="B13" sqref="B13"/>
    </sheetView>
  </sheetViews>
  <sheetFormatPr baseColWidth="10" defaultRowHeight="16" x14ac:dyDescent="0.2"/>
  <cols>
    <col min="1" max="16384" width="10.83203125" style="1"/>
  </cols>
  <sheetData>
    <row r="13" spans="2:2" s="141" customFormat="1" ht="49" x14ac:dyDescent="0.2">
      <c r="B13" s="140" t="s">
        <v>264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A1:T207"/>
  <sheetViews>
    <sheetView tabSelected="1" zoomScale="150" zoomScaleNormal="150" workbookViewId="0">
      <pane xSplit="2" ySplit="3" topLeftCell="C148" activePane="bottomRight" state="frozen"/>
      <selection pane="topRight" activeCell="C1" sqref="C1"/>
      <selection pane="bottomLeft" activeCell="A4" sqref="A4"/>
      <selection pane="bottomRight" activeCell="D153" sqref="D153"/>
    </sheetView>
  </sheetViews>
  <sheetFormatPr baseColWidth="10" defaultRowHeight="16" outlineLevelRow="2" outlineLevelCol="1" x14ac:dyDescent="0.2"/>
  <cols>
    <col min="1" max="1" width="3.6640625" style="1" customWidth="1"/>
    <col min="2" max="2" width="32.5" style="9" customWidth="1"/>
    <col min="3" max="3" width="12" style="1" customWidth="1" outlineLevel="1"/>
    <col min="4" max="4" width="10.83203125" style="1" customWidth="1" outlineLevel="1"/>
    <col min="5" max="5" width="12" style="1" customWidth="1" outlineLevel="1"/>
    <col min="6" max="6" width="10.83203125" style="1" customWidth="1" outlineLevel="1"/>
    <col min="7" max="9" width="10.83203125" style="1" customWidth="1"/>
    <col min="10" max="16384" width="10.83203125" style="1"/>
  </cols>
  <sheetData>
    <row r="1" spans="1:11" x14ac:dyDescent="0.2">
      <c r="B1" s="1"/>
    </row>
    <row r="2" spans="1:11" s="3" customFormat="1" x14ac:dyDescent="0.2">
      <c r="A2" s="2"/>
      <c r="B2" s="63" t="s">
        <v>0</v>
      </c>
      <c r="C2" s="3" t="s">
        <v>168</v>
      </c>
      <c r="D2" s="3" t="s">
        <v>167</v>
      </c>
      <c r="E2" s="3" t="s">
        <v>121</v>
      </c>
      <c r="F2" s="3" t="s">
        <v>120</v>
      </c>
      <c r="G2" s="3" t="s">
        <v>119</v>
      </c>
      <c r="H2" s="3" t="s">
        <v>228</v>
      </c>
    </row>
    <row r="3" spans="1:11" s="5" customFormat="1" x14ac:dyDescent="0.2">
      <c r="A3" s="4"/>
      <c r="B3" s="64" t="s">
        <v>1</v>
      </c>
      <c r="C3" s="5">
        <f>2021</f>
        <v>2021</v>
      </c>
      <c r="D3" s="5">
        <f t="shared" ref="D3:K3" si="0">C3+1</f>
        <v>2022</v>
      </c>
      <c r="E3" s="5">
        <f t="shared" si="0"/>
        <v>2023</v>
      </c>
      <c r="F3" s="5">
        <f t="shared" si="0"/>
        <v>2024</v>
      </c>
      <c r="G3" s="5">
        <f t="shared" si="0"/>
        <v>2025</v>
      </c>
      <c r="H3" s="5">
        <f t="shared" si="0"/>
        <v>2026</v>
      </c>
      <c r="I3" s="5">
        <f t="shared" si="0"/>
        <v>2027</v>
      </c>
      <c r="J3" s="5">
        <f t="shared" si="0"/>
        <v>2028</v>
      </c>
      <c r="K3" s="5">
        <f t="shared" si="0"/>
        <v>2029</v>
      </c>
    </row>
    <row r="4" spans="1:11" s="14" customFormat="1" ht="17" thickBot="1" x14ac:dyDescent="0.25">
      <c r="A4" s="4"/>
      <c r="B4" s="15" t="s">
        <v>5</v>
      </c>
    </row>
    <row r="5" spans="1:11" s="55" customFormat="1" outlineLevel="1" x14ac:dyDescent="0.2">
      <c r="A5" s="7"/>
      <c r="B5" s="17" t="s">
        <v>6</v>
      </c>
      <c r="C5" s="53">
        <v>148677</v>
      </c>
      <c r="D5" s="53">
        <v>213233</v>
      </c>
      <c r="E5" s="53">
        <v>280910</v>
      </c>
      <c r="F5" s="53">
        <v>356299</v>
      </c>
      <c r="G5" s="53">
        <v>419813</v>
      </c>
      <c r="H5" s="53">
        <v>480591</v>
      </c>
      <c r="I5" s="53"/>
      <c r="J5" s="53"/>
      <c r="K5" s="53"/>
    </row>
    <row r="6" spans="1:11" outlineLevel="1" x14ac:dyDescent="0.2">
      <c r="B6" s="9" t="s">
        <v>7</v>
      </c>
      <c r="C6" s="27">
        <v>52386</v>
      </c>
      <c r="D6" s="27">
        <v>81388</v>
      </c>
      <c r="E6" s="27">
        <v>109267</v>
      </c>
      <c r="F6" s="27">
        <v>124011</v>
      </c>
      <c r="G6" s="27">
        <v>134934</v>
      </c>
      <c r="H6" s="27">
        <v>154123</v>
      </c>
      <c r="I6" s="27"/>
      <c r="J6" s="27"/>
      <c r="K6" s="27"/>
    </row>
    <row r="7" spans="1:11" s="55" customFormat="1" outlineLevel="1" x14ac:dyDescent="0.2">
      <c r="A7" s="7"/>
      <c r="B7" s="17" t="s">
        <v>8</v>
      </c>
      <c r="C7" s="56">
        <f t="shared" ref="C7:K7" si="1">C5-C6</f>
        <v>96291</v>
      </c>
      <c r="D7" s="56">
        <f>D5-D6</f>
        <v>131845</v>
      </c>
      <c r="E7" s="56">
        <f t="shared" si="1"/>
        <v>171643</v>
      </c>
      <c r="F7" s="56">
        <f t="shared" si="1"/>
        <v>232288</v>
      </c>
      <c r="G7" s="56">
        <f t="shared" si="1"/>
        <v>284879</v>
      </c>
      <c r="H7" s="56">
        <f t="shared" si="1"/>
        <v>326468</v>
      </c>
      <c r="I7" s="56">
        <f t="shared" si="1"/>
        <v>0</v>
      </c>
      <c r="J7" s="56">
        <f t="shared" si="1"/>
        <v>0</v>
      </c>
      <c r="K7" s="56">
        <f t="shared" si="1"/>
        <v>0</v>
      </c>
    </row>
    <row r="8" spans="1:11" outlineLevel="1" x14ac:dyDescent="0.2">
      <c r="B8" s="12" t="s">
        <v>94</v>
      </c>
      <c r="C8" s="27">
        <v>42972</v>
      </c>
      <c r="D8" s="27">
        <v>106421</v>
      </c>
      <c r="E8" s="27">
        <v>151263</v>
      </c>
      <c r="F8" s="27">
        <v>147008</v>
      </c>
      <c r="G8" s="27">
        <v>121129</v>
      </c>
      <c r="H8" s="27">
        <v>100243</v>
      </c>
      <c r="I8" s="27"/>
      <c r="J8" s="27"/>
      <c r="K8" s="27"/>
    </row>
    <row r="9" spans="1:11" s="8" customFormat="1" outlineLevel="1" x14ac:dyDescent="0.2">
      <c r="B9" s="12" t="s">
        <v>9</v>
      </c>
      <c r="C9" s="27">
        <v>22622</v>
      </c>
      <c r="D9" s="27">
        <v>52265</v>
      </c>
      <c r="E9" s="27">
        <v>91244</v>
      </c>
      <c r="F9" s="27">
        <v>112346</v>
      </c>
      <c r="G9" s="27">
        <v>117364</v>
      </c>
      <c r="H9" s="27">
        <v>121481</v>
      </c>
      <c r="I9" s="27"/>
      <c r="J9" s="27"/>
      <c r="K9" s="27"/>
    </row>
    <row r="10" spans="1:11" s="8" customFormat="1" outlineLevel="1" x14ac:dyDescent="0.2">
      <c r="B10" s="12" t="s">
        <v>95</v>
      </c>
      <c r="C10" s="27">
        <v>40460</v>
      </c>
      <c r="D10" s="27">
        <v>68674</v>
      </c>
      <c r="E10" s="27">
        <v>80384</v>
      </c>
      <c r="F10" s="27">
        <v>79926</v>
      </c>
      <c r="G10" s="27">
        <v>76597</v>
      </c>
      <c r="H10" s="27">
        <v>79903</v>
      </c>
      <c r="I10" s="27"/>
      <c r="J10" s="27"/>
      <c r="K10" s="27"/>
    </row>
    <row r="11" spans="1:11" s="8" customFormat="1" outlineLevel="1" x14ac:dyDescent="0.2">
      <c r="B11" s="12" t="s">
        <v>85</v>
      </c>
      <c r="C11" s="27">
        <v>9770</v>
      </c>
      <c r="D11" s="27">
        <v>14985</v>
      </c>
      <c r="E11" s="27">
        <v>17988</v>
      </c>
      <c r="F11" s="27">
        <v>17584</v>
      </c>
      <c r="G11" s="27">
        <v>14183</v>
      </c>
      <c r="H11" s="27">
        <v>12972</v>
      </c>
      <c r="I11" s="27"/>
      <c r="J11" s="27"/>
      <c r="K11" s="27"/>
    </row>
    <row r="12" spans="1:11" outlineLevel="1" x14ac:dyDescent="0.2">
      <c r="B12" s="12" t="s">
        <v>86</v>
      </c>
      <c r="C12" s="27">
        <v>6138</v>
      </c>
      <c r="D12" s="27">
        <v>6317</v>
      </c>
      <c r="E12" s="27">
        <v>7316</v>
      </c>
      <c r="F12" s="27">
        <v>11903</v>
      </c>
      <c r="G12" s="27">
        <v>13703</v>
      </c>
      <c r="H12" s="27">
        <v>18481</v>
      </c>
      <c r="I12" s="27"/>
      <c r="J12" s="27"/>
      <c r="K12" s="27"/>
    </row>
    <row r="13" spans="1:11" outlineLevel="1" x14ac:dyDescent="0.2">
      <c r="B13" s="12" t="s">
        <v>11</v>
      </c>
      <c r="C13" s="20">
        <f t="shared" ref="C13:K13" si="2">SUM(C8:C12)</f>
        <v>121962</v>
      </c>
      <c r="D13" s="20">
        <f t="shared" si="2"/>
        <v>248662</v>
      </c>
      <c r="E13" s="20">
        <f t="shared" si="2"/>
        <v>348195</v>
      </c>
      <c r="F13" s="20">
        <f t="shared" si="2"/>
        <v>368767</v>
      </c>
      <c r="G13" s="20">
        <f t="shared" si="2"/>
        <v>342976</v>
      </c>
      <c r="H13" s="20">
        <f t="shared" si="2"/>
        <v>333080</v>
      </c>
      <c r="I13" s="20">
        <f t="shared" si="2"/>
        <v>0</v>
      </c>
      <c r="J13" s="20">
        <f t="shared" si="2"/>
        <v>0</v>
      </c>
      <c r="K13" s="20">
        <f t="shared" si="2"/>
        <v>0</v>
      </c>
    </row>
    <row r="14" spans="1:11" s="55" customFormat="1" outlineLevel="1" x14ac:dyDescent="0.2">
      <c r="A14" s="7"/>
      <c r="B14" s="17" t="s">
        <v>12</v>
      </c>
      <c r="C14" s="53">
        <v>-25671</v>
      </c>
      <c r="D14" s="53">
        <v>-116817</v>
      </c>
      <c r="E14" s="53">
        <v>-176552</v>
      </c>
      <c r="F14" s="53">
        <v>-136479</v>
      </c>
      <c r="G14" s="53">
        <v>-58097</v>
      </c>
      <c r="H14" s="53">
        <v>-6612</v>
      </c>
      <c r="I14" s="53"/>
      <c r="J14" s="53"/>
      <c r="K14" s="53"/>
    </row>
    <row r="15" spans="1:11" outlineLevel="1" x14ac:dyDescent="0.2">
      <c r="B15" s="12" t="s">
        <v>122</v>
      </c>
      <c r="C15" s="27">
        <v>1</v>
      </c>
      <c r="D15" s="27">
        <v>-78</v>
      </c>
      <c r="E15" s="27">
        <v>-175</v>
      </c>
      <c r="F15" s="27">
        <v>44</v>
      </c>
      <c r="G15" s="27">
        <v>1956</v>
      </c>
      <c r="H15" s="27">
        <v>2953</v>
      </c>
      <c r="I15" s="27"/>
      <c r="J15" s="27"/>
      <c r="K15" s="27"/>
    </row>
    <row r="16" spans="1:11" outlineLevel="1" x14ac:dyDescent="0.2">
      <c r="B16" s="12" t="s">
        <v>123</v>
      </c>
      <c r="C16" s="27">
        <v>0</v>
      </c>
      <c r="D16" s="27">
        <v>0</v>
      </c>
      <c r="E16" s="27">
        <v>0</v>
      </c>
      <c r="F16" s="27">
        <v>-1118</v>
      </c>
      <c r="G16" s="27">
        <v>0</v>
      </c>
      <c r="H16" s="27">
        <v>-501</v>
      </c>
      <c r="I16" s="27"/>
      <c r="J16" s="27"/>
      <c r="K16" s="27"/>
    </row>
    <row r="17" spans="1:11" outlineLevel="1" x14ac:dyDescent="0.2">
      <c r="B17" s="12" t="s">
        <v>234</v>
      </c>
      <c r="C17" s="27">
        <v>0</v>
      </c>
      <c r="D17" s="27">
        <v>0</v>
      </c>
      <c r="E17" s="27">
        <v>0</v>
      </c>
      <c r="F17" s="27">
        <v>0</v>
      </c>
      <c r="G17" s="27">
        <v>0</v>
      </c>
      <c r="H17" s="27">
        <v>-6953</v>
      </c>
      <c r="I17" s="27"/>
      <c r="J17" s="27"/>
      <c r="K17" s="27"/>
    </row>
    <row r="18" spans="1:11" outlineLevel="1" x14ac:dyDescent="0.2">
      <c r="B18" s="12" t="s">
        <v>104</v>
      </c>
      <c r="C18" s="27">
        <v>-1573</v>
      </c>
      <c r="D18" s="27">
        <v>-1084</v>
      </c>
      <c r="E18" s="27">
        <v>1064</v>
      </c>
      <c r="F18" s="27">
        <v>2211</v>
      </c>
      <c r="G18" s="27">
        <v>330</v>
      </c>
      <c r="H18" s="27">
        <v>2173</v>
      </c>
      <c r="I18" s="27"/>
      <c r="J18" s="27"/>
      <c r="K18" s="27"/>
    </row>
    <row r="19" spans="1:11" s="55" customFormat="1" outlineLevel="1" x14ac:dyDescent="0.2">
      <c r="A19" s="7"/>
      <c r="B19" s="17" t="s">
        <v>13</v>
      </c>
      <c r="C19" s="53">
        <v>-27243</v>
      </c>
      <c r="D19" s="53">
        <v>-117979</v>
      </c>
      <c r="E19" s="53">
        <v>-175663</v>
      </c>
      <c r="F19" s="53">
        <v>-135342</v>
      </c>
      <c r="G19" s="53">
        <v>-55811</v>
      </c>
      <c r="H19" s="53">
        <v>-8940</v>
      </c>
      <c r="I19" s="53"/>
      <c r="J19" s="53"/>
      <c r="K19" s="53"/>
    </row>
    <row r="20" spans="1:11" outlineLevel="1" x14ac:dyDescent="0.2">
      <c r="B20" s="12" t="s">
        <v>72</v>
      </c>
      <c r="C20" s="27">
        <v>-49</v>
      </c>
      <c r="D20" s="27">
        <v>-182</v>
      </c>
      <c r="E20" s="27">
        <v>-483</v>
      </c>
      <c r="F20" s="27">
        <v>-1543</v>
      </c>
      <c r="G20" s="27">
        <v>-2716</v>
      </c>
      <c r="H20" s="27">
        <v>11246</v>
      </c>
      <c r="I20" s="27"/>
      <c r="J20" s="27"/>
      <c r="K20" s="27"/>
    </row>
    <row r="21" spans="1:11" s="55" customFormat="1" outlineLevel="1" x14ac:dyDescent="0.2">
      <c r="A21" s="7"/>
      <c r="B21" s="17" t="s">
        <v>14</v>
      </c>
      <c r="C21" s="53">
        <v>-27292</v>
      </c>
      <c r="D21" s="53">
        <v>-118161</v>
      </c>
      <c r="E21" s="53">
        <v>-176146</v>
      </c>
      <c r="F21" s="53">
        <v>-136885</v>
      </c>
      <c r="G21" s="53">
        <v>-58527</v>
      </c>
      <c r="H21" s="53">
        <v>2306</v>
      </c>
      <c r="I21" s="53"/>
      <c r="J21" s="53"/>
      <c r="K21" s="53"/>
    </row>
    <row r="22" spans="1:11" outlineLevel="1" x14ac:dyDescent="0.2">
      <c r="B22" s="12" t="s">
        <v>15</v>
      </c>
      <c r="C22" s="27">
        <v>39520</v>
      </c>
      <c r="D22" s="27">
        <v>49888</v>
      </c>
      <c r="E22" s="27">
        <v>52440</v>
      </c>
      <c r="F22" s="27">
        <v>54561</v>
      </c>
      <c r="G22" s="27">
        <v>57590</v>
      </c>
      <c r="H22" s="27">
        <v>59738</v>
      </c>
      <c r="I22" s="27"/>
      <c r="J22" s="27"/>
      <c r="K22" s="27"/>
    </row>
    <row r="23" spans="1:11" outlineLevel="1" x14ac:dyDescent="0.2">
      <c r="B23" s="12" t="s">
        <v>16</v>
      </c>
      <c r="C23" s="27">
        <v>39520</v>
      </c>
      <c r="D23" s="27">
        <v>49888</v>
      </c>
      <c r="E23" s="27">
        <v>52440</v>
      </c>
      <c r="F23" s="27">
        <v>54561</v>
      </c>
      <c r="G23" s="27">
        <v>57590</v>
      </c>
      <c r="H23" s="27">
        <v>61495</v>
      </c>
      <c r="I23" s="27"/>
      <c r="J23" s="27"/>
      <c r="K23" s="27"/>
    </row>
    <row r="24" spans="1:11" outlineLevel="1" x14ac:dyDescent="0.2">
      <c r="B24" s="12" t="s">
        <v>17</v>
      </c>
      <c r="C24" s="31">
        <v>-0.69</v>
      </c>
      <c r="D24" s="31">
        <v>-2.37</v>
      </c>
      <c r="E24" s="31">
        <v>-3.36</v>
      </c>
      <c r="F24" s="31">
        <v>-2.5099999999999998</v>
      </c>
      <c r="G24" s="31">
        <v>-1.02</v>
      </c>
      <c r="H24" s="31">
        <v>0.04</v>
      </c>
      <c r="I24" s="31"/>
      <c r="J24" s="31"/>
      <c r="K24" s="31"/>
    </row>
    <row r="25" spans="1:11" s="16" customFormat="1" ht="17" outlineLevel="1" thickBot="1" x14ac:dyDescent="0.25">
      <c r="A25" s="1"/>
      <c r="B25" s="10" t="s">
        <v>18</v>
      </c>
      <c r="C25" s="32">
        <v>-0.69</v>
      </c>
      <c r="D25" s="32">
        <v>-2.37</v>
      </c>
      <c r="E25" s="32">
        <v>-3.36</v>
      </c>
      <c r="F25" s="32">
        <v>-2.5099999999999998</v>
      </c>
      <c r="G25" s="32">
        <v>-1.02</v>
      </c>
      <c r="H25" s="32">
        <v>0.04</v>
      </c>
      <c r="I25" s="32"/>
      <c r="J25" s="32"/>
      <c r="K25" s="32"/>
    </row>
    <row r="26" spans="1:11" s="16" customFormat="1" ht="17" thickBot="1" x14ac:dyDescent="0.25">
      <c r="A26" s="1"/>
      <c r="B26" s="6"/>
      <c r="E26" s="6"/>
      <c r="F26" s="6"/>
      <c r="G26" s="6"/>
      <c r="H26" s="6"/>
      <c r="I26" s="6"/>
      <c r="J26" s="6"/>
      <c r="K26" s="6"/>
    </row>
    <row r="27" spans="1:11" s="14" customFormat="1" ht="17" thickBot="1" x14ac:dyDescent="0.25">
      <c r="A27" s="4"/>
      <c r="B27" s="15" t="s">
        <v>19</v>
      </c>
    </row>
    <row r="28" spans="1:11" outlineLevel="1" x14ac:dyDescent="0.2">
      <c r="B28" s="9" t="s">
        <v>20</v>
      </c>
      <c r="C28" s="27">
        <v>218781</v>
      </c>
      <c r="D28" s="27">
        <v>313812</v>
      </c>
      <c r="E28" s="27">
        <v>176683</v>
      </c>
      <c r="F28" s="27">
        <v>87520</v>
      </c>
      <c r="G28" s="27">
        <v>84220</v>
      </c>
      <c r="H28" s="27">
        <v>73830</v>
      </c>
      <c r="I28" s="27"/>
      <c r="J28" s="27"/>
      <c r="K28" s="27"/>
    </row>
    <row r="29" spans="1:11" outlineLevel="1" x14ac:dyDescent="0.2">
      <c r="B29" s="9" t="s">
        <v>124</v>
      </c>
      <c r="C29" s="27">
        <v>15488</v>
      </c>
      <c r="D29" s="27">
        <v>19590</v>
      </c>
      <c r="E29" s="27">
        <v>22599</v>
      </c>
      <c r="F29" s="27">
        <v>28072</v>
      </c>
      <c r="G29" s="27">
        <v>29176</v>
      </c>
      <c r="H29" s="27">
        <v>32999</v>
      </c>
      <c r="I29" s="27"/>
      <c r="J29" s="27"/>
      <c r="K29" s="27"/>
    </row>
    <row r="30" spans="1:11" outlineLevel="1" x14ac:dyDescent="0.2">
      <c r="B30" s="9" t="s">
        <v>21</v>
      </c>
      <c r="C30" s="27">
        <v>29052</v>
      </c>
      <c r="D30" s="27">
        <v>40262</v>
      </c>
      <c r="E30" s="27">
        <v>51394</v>
      </c>
      <c r="F30" s="27">
        <v>64863</v>
      </c>
      <c r="G30" s="27">
        <v>73617</v>
      </c>
      <c r="H30" s="27">
        <v>97453</v>
      </c>
      <c r="I30" s="27"/>
      <c r="J30" s="27"/>
      <c r="K30" s="27"/>
    </row>
    <row r="31" spans="1:11" outlineLevel="1" x14ac:dyDescent="0.2">
      <c r="B31" s="9" t="s">
        <v>229</v>
      </c>
      <c r="C31" s="27">
        <v>0</v>
      </c>
      <c r="D31" s="27">
        <v>0</v>
      </c>
      <c r="E31" s="27">
        <v>0</v>
      </c>
      <c r="F31" s="27">
        <v>0</v>
      </c>
      <c r="G31" s="27">
        <v>0</v>
      </c>
      <c r="H31" s="27">
        <v>38330</v>
      </c>
      <c r="I31" s="27"/>
      <c r="J31" s="27"/>
      <c r="K31" s="27"/>
    </row>
    <row r="32" spans="1:11" outlineLevel="1" x14ac:dyDescent="0.2">
      <c r="B32" s="9" t="s">
        <v>230</v>
      </c>
      <c r="C32" s="27">
        <v>0</v>
      </c>
      <c r="D32" s="27">
        <v>0</v>
      </c>
      <c r="E32" s="27">
        <v>0</v>
      </c>
      <c r="F32" s="27">
        <v>0</v>
      </c>
      <c r="G32" s="27">
        <v>0</v>
      </c>
      <c r="H32" s="27">
        <v>18003</v>
      </c>
      <c r="I32" s="27"/>
      <c r="J32" s="27"/>
      <c r="K32" s="27"/>
    </row>
    <row r="33" spans="1:11" outlineLevel="1" x14ac:dyDescent="0.2">
      <c r="B33" s="9" t="s">
        <v>231</v>
      </c>
      <c r="C33" s="27">
        <v>0</v>
      </c>
      <c r="D33" s="27">
        <v>0</v>
      </c>
      <c r="E33" s="27">
        <v>0</v>
      </c>
      <c r="F33" s="27">
        <v>0</v>
      </c>
      <c r="G33" s="27">
        <v>0</v>
      </c>
      <c r="H33" s="27">
        <v>840</v>
      </c>
      <c r="I33" s="27"/>
      <c r="J33" s="27"/>
      <c r="K33" s="27"/>
    </row>
    <row r="34" spans="1:11" outlineLevel="1" x14ac:dyDescent="0.2">
      <c r="B34" s="9" t="s">
        <v>125</v>
      </c>
      <c r="C34" s="27">
        <v>1693</v>
      </c>
      <c r="D34" s="27">
        <v>1642</v>
      </c>
      <c r="E34" s="27">
        <v>1056</v>
      </c>
      <c r="F34" s="27">
        <v>768</v>
      </c>
      <c r="G34" s="27">
        <v>401</v>
      </c>
      <c r="H34" s="27">
        <v>410</v>
      </c>
      <c r="I34" s="27"/>
      <c r="J34" s="27"/>
      <c r="K34" s="27"/>
    </row>
    <row r="35" spans="1:11" outlineLevel="1" x14ac:dyDescent="0.2">
      <c r="B35" s="9" t="s">
        <v>126</v>
      </c>
      <c r="C35" s="27">
        <v>7254</v>
      </c>
      <c r="D35" s="27">
        <v>11043</v>
      </c>
      <c r="E35" s="27">
        <v>10709</v>
      </c>
      <c r="F35" s="27">
        <v>14461</v>
      </c>
      <c r="G35" s="27">
        <v>15871</v>
      </c>
      <c r="H35" s="27">
        <v>17978</v>
      </c>
      <c r="I35" s="27"/>
      <c r="J35" s="27"/>
      <c r="K35" s="27"/>
    </row>
    <row r="36" spans="1:11" s="54" customFormat="1" outlineLevel="1" x14ac:dyDescent="0.2">
      <c r="A36" s="7"/>
      <c r="B36" s="11" t="s">
        <v>22</v>
      </c>
      <c r="C36" s="57">
        <v>272268</v>
      </c>
      <c r="D36" s="57">
        <v>386349</v>
      </c>
      <c r="E36" s="57">
        <v>262441</v>
      </c>
      <c r="F36" s="57">
        <v>195684</v>
      </c>
      <c r="G36" s="57">
        <v>203285</v>
      </c>
      <c r="H36" s="57">
        <v>279843</v>
      </c>
      <c r="I36" s="57"/>
      <c r="J36" s="57"/>
      <c r="K36" s="57"/>
    </row>
    <row r="37" spans="1:11" outlineLevel="1" x14ac:dyDescent="0.2">
      <c r="B37" s="9" t="s">
        <v>24</v>
      </c>
      <c r="C37" s="27">
        <v>26660</v>
      </c>
      <c r="D37" s="27">
        <v>34645</v>
      </c>
      <c r="E37" s="27">
        <v>21670</v>
      </c>
      <c r="F37" s="27">
        <v>16902</v>
      </c>
      <c r="G37" s="27">
        <v>23651</v>
      </c>
      <c r="H37" s="27">
        <v>20332</v>
      </c>
      <c r="I37" s="27"/>
      <c r="J37" s="27"/>
      <c r="K37" s="27"/>
    </row>
    <row r="38" spans="1:11" outlineLevel="1" x14ac:dyDescent="0.2">
      <c r="B38" s="9" t="s">
        <v>127</v>
      </c>
      <c r="C38" s="27">
        <v>10476</v>
      </c>
      <c r="D38" s="27">
        <v>17643</v>
      </c>
      <c r="E38" s="27">
        <v>35150</v>
      </c>
      <c r="F38" s="27">
        <v>46139</v>
      </c>
      <c r="G38" s="27">
        <v>52763</v>
      </c>
      <c r="H38" s="27">
        <v>54270</v>
      </c>
      <c r="I38" s="27"/>
      <c r="J38" s="27"/>
      <c r="K38" s="27"/>
    </row>
    <row r="39" spans="1:11" outlineLevel="1" x14ac:dyDescent="0.2">
      <c r="B39" s="9" t="s">
        <v>97</v>
      </c>
      <c r="C39" s="27">
        <v>2654</v>
      </c>
      <c r="D39" s="27">
        <v>2337</v>
      </c>
      <c r="E39" s="27">
        <v>569</v>
      </c>
      <c r="F39" s="27">
        <v>266</v>
      </c>
      <c r="G39" s="27">
        <v>1477</v>
      </c>
      <c r="H39" s="27">
        <v>2002</v>
      </c>
      <c r="I39" s="27"/>
      <c r="J39" s="27"/>
      <c r="K39" s="27"/>
    </row>
    <row r="40" spans="1:11" outlineLevel="1" x14ac:dyDescent="0.2">
      <c r="B40" s="9" t="s">
        <v>125</v>
      </c>
      <c r="C40" s="27">
        <v>1248</v>
      </c>
      <c r="D40" s="27">
        <v>2437</v>
      </c>
      <c r="E40" s="27">
        <v>1754</v>
      </c>
      <c r="F40" s="27">
        <v>986</v>
      </c>
      <c r="G40" s="27">
        <v>583</v>
      </c>
      <c r="H40" s="27">
        <v>338</v>
      </c>
      <c r="I40" s="27"/>
      <c r="J40" s="27"/>
      <c r="K40" s="27"/>
    </row>
    <row r="41" spans="1:11" outlineLevel="1" x14ac:dyDescent="0.2">
      <c r="B41" s="9" t="s">
        <v>105</v>
      </c>
      <c r="C41" s="27">
        <v>2725</v>
      </c>
      <c r="D41" s="27">
        <v>12772</v>
      </c>
      <c r="E41" s="27">
        <v>11401</v>
      </c>
      <c r="F41" s="27">
        <v>31625</v>
      </c>
      <c r="G41" s="27">
        <v>28143</v>
      </c>
      <c r="H41" s="27">
        <v>79761</v>
      </c>
      <c r="I41" s="27"/>
      <c r="J41" s="27"/>
      <c r="K41" s="27"/>
    </row>
    <row r="42" spans="1:11" outlineLevel="1" x14ac:dyDescent="0.2">
      <c r="B42" s="9" t="s">
        <v>23</v>
      </c>
      <c r="C42" s="27">
        <v>658</v>
      </c>
      <c r="D42" s="27">
        <v>515</v>
      </c>
      <c r="E42" s="27">
        <v>81</v>
      </c>
      <c r="F42" s="27">
        <v>0</v>
      </c>
      <c r="G42" s="27">
        <v>0</v>
      </c>
      <c r="H42" s="27">
        <v>1593</v>
      </c>
      <c r="I42" s="27"/>
      <c r="J42" s="27"/>
      <c r="K42" s="27"/>
    </row>
    <row r="43" spans="1:11" outlineLevel="1" x14ac:dyDescent="0.2">
      <c r="B43" s="9" t="s">
        <v>25</v>
      </c>
      <c r="C43" s="27">
        <v>8307</v>
      </c>
      <c r="D43" s="27">
        <v>33621</v>
      </c>
      <c r="E43" s="27">
        <v>33736</v>
      </c>
      <c r="F43" s="27">
        <v>75845</v>
      </c>
      <c r="G43" s="27">
        <v>75845</v>
      </c>
      <c r="H43" s="27">
        <v>170064</v>
      </c>
      <c r="I43" s="27"/>
      <c r="J43" s="27"/>
      <c r="K43" s="27"/>
    </row>
    <row r="44" spans="1:11" outlineLevel="1" x14ac:dyDescent="0.2">
      <c r="B44" s="9" t="s">
        <v>26</v>
      </c>
      <c r="C44" s="27">
        <v>1670</v>
      </c>
      <c r="D44" s="27">
        <v>4157</v>
      </c>
      <c r="E44" s="27">
        <v>3255</v>
      </c>
      <c r="F44" s="27">
        <v>2879</v>
      </c>
      <c r="G44" s="27">
        <v>2668</v>
      </c>
      <c r="H44" s="27">
        <v>2442</v>
      </c>
      <c r="I44" s="27"/>
      <c r="J44" s="27"/>
      <c r="K44" s="27"/>
    </row>
    <row r="45" spans="1:11" outlineLevel="1" x14ac:dyDescent="0.2">
      <c r="B45" s="9" t="s">
        <v>229</v>
      </c>
      <c r="C45" s="27">
        <v>0</v>
      </c>
      <c r="D45" s="27">
        <v>0</v>
      </c>
      <c r="E45" s="27">
        <v>0</v>
      </c>
      <c r="F45" s="27">
        <v>0</v>
      </c>
      <c r="G45" s="27">
        <v>0</v>
      </c>
      <c r="H45" s="27">
        <v>47723</v>
      </c>
      <c r="I45" s="27"/>
      <c r="J45" s="27"/>
      <c r="K45" s="27"/>
    </row>
    <row r="46" spans="1:11" outlineLevel="1" x14ac:dyDescent="0.2">
      <c r="B46" s="9" t="s">
        <v>230</v>
      </c>
      <c r="C46" s="27">
        <v>0</v>
      </c>
      <c r="D46" s="27">
        <v>0</v>
      </c>
      <c r="E46" s="27">
        <v>0</v>
      </c>
      <c r="F46" s="27">
        <v>0</v>
      </c>
      <c r="G46" s="27">
        <v>0</v>
      </c>
      <c r="H46" s="27">
        <v>5422</v>
      </c>
      <c r="I46" s="27"/>
      <c r="J46" s="27"/>
      <c r="K46" s="27"/>
    </row>
    <row r="47" spans="1:11" s="54" customFormat="1" outlineLevel="1" x14ac:dyDescent="0.2">
      <c r="A47" s="7"/>
      <c r="B47" s="11" t="s">
        <v>27</v>
      </c>
      <c r="C47" s="58">
        <f t="shared" ref="C47:K47" si="3">SUM(C37:C44)</f>
        <v>54398</v>
      </c>
      <c r="D47" s="58">
        <f t="shared" si="3"/>
        <v>108127</v>
      </c>
      <c r="E47" s="58">
        <f t="shared" si="3"/>
        <v>107616</v>
      </c>
      <c r="F47" s="58">
        <f t="shared" si="3"/>
        <v>174642</v>
      </c>
      <c r="G47" s="58">
        <f t="shared" si="3"/>
        <v>185130</v>
      </c>
      <c r="H47" s="58">
        <f t="shared" si="3"/>
        <v>330802</v>
      </c>
      <c r="I47" s="58">
        <f t="shared" si="3"/>
        <v>0</v>
      </c>
      <c r="J47" s="58">
        <f t="shared" si="3"/>
        <v>0</v>
      </c>
      <c r="K47" s="58">
        <f t="shared" si="3"/>
        <v>0</v>
      </c>
    </row>
    <row r="48" spans="1:11" s="55" customFormat="1" outlineLevel="1" x14ac:dyDescent="0.2">
      <c r="A48" s="7"/>
      <c r="B48" s="17" t="s">
        <v>28</v>
      </c>
      <c r="C48" s="53">
        <v>326666</v>
      </c>
      <c r="D48" s="53">
        <v>494476</v>
      </c>
      <c r="E48" s="53">
        <v>370057</v>
      </c>
      <c r="F48" s="53">
        <v>370326</v>
      </c>
      <c r="G48" s="53">
        <v>388415</v>
      </c>
      <c r="H48" s="53">
        <v>663790</v>
      </c>
      <c r="I48" s="53"/>
      <c r="J48" s="53"/>
      <c r="K48" s="53"/>
    </row>
    <row r="49" spans="1:11" outlineLevel="1" x14ac:dyDescent="0.2">
      <c r="B49" s="9" t="s">
        <v>128</v>
      </c>
      <c r="C49" s="27">
        <v>15488</v>
      </c>
      <c r="D49" s="27">
        <v>19590</v>
      </c>
      <c r="E49" s="27">
        <v>22599</v>
      </c>
      <c r="F49" s="27">
        <v>28072</v>
      </c>
      <c r="G49" s="27">
        <v>29176</v>
      </c>
      <c r="H49" s="27">
        <v>32999</v>
      </c>
      <c r="I49" s="27"/>
      <c r="J49" s="27"/>
      <c r="K49" s="27"/>
    </row>
    <row r="50" spans="1:11" outlineLevel="1" x14ac:dyDescent="0.2">
      <c r="B50" s="9" t="s">
        <v>129</v>
      </c>
      <c r="C50" s="27">
        <v>4864</v>
      </c>
      <c r="D50" s="27">
        <v>5821</v>
      </c>
      <c r="E50" s="27">
        <v>5172</v>
      </c>
      <c r="F50" s="27">
        <v>6056</v>
      </c>
      <c r="G50" s="27">
        <v>8043</v>
      </c>
      <c r="H50" s="27">
        <v>7971</v>
      </c>
      <c r="I50" s="27"/>
      <c r="J50" s="27"/>
      <c r="K50" s="27"/>
    </row>
    <row r="51" spans="1:11" outlineLevel="1" x14ac:dyDescent="0.2">
      <c r="B51" s="9" t="s">
        <v>130</v>
      </c>
      <c r="C51" s="27">
        <v>1087</v>
      </c>
      <c r="D51" s="27">
        <v>1281</v>
      </c>
      <c r="E51" s="27">
        <v>934</v>
      </c>
      <c r="F51" s="27">
        <v>393</v>
      </c>
      <c r="G51" s="27">
        <v>964</v>
      </c>
      <c r="H51" s="27">
        <v>1254</v>
      </c>
      <c r="I51" s="27"/>
      <c r="J51" s="27"/>
      <c r="K51" s="27"/>
    </row>
    <row r="52" spans="1:11" outlineLevel="1" x14ac:dyDescent="0.2">
      <c r="B52" s="9" t="s">
        <v>29</v>
      </c>
      <c r="C52" s="27">
        <v>4389</v>
      </c>
      <c r="D52" s="27">
        <v>5119</v>
      </c>
      <c r="E52" s="27">
        <v>10836</v>
      </c>
      <c r="F52" s="27">
        <v>8480</v>
      </c>
      <c r="G52" s="27">
        <v>5622</v>
      </c>
      <c r="H52" s="27">
        <v>11477</v>
      </c>
      <c r="I52" s="27"/>
      <c r="J52" s="27"/>
      <c r="K52" s="27"/>
    </row>
    <row r="53" spans="1:11" outlineLevel="1" x14ac:dyDescent="0.2">
      <c r="B53" s="9" t="s">
        <v>131</v>
      </c>
      <c r="C53" s="27">
        <v>18324</v>
      </c>
      <c r="D53" s="27">
        <v>20128</v>
      </c>
      <c r="E53" s="27">
        <v>21810</v>
      </c>
      <c r="F53" s="27">
        <v>37130</v>
      </c>
      <c r="G53" s="27">
        <v>37460</v>
      </c>
      <c r="H53" s="27">
        <v>41257</v>
      </c>
      <c r="I53" s="27"/>
      <c r="J53" s="27"/>
      <c r="K53" s="27"/>
    </row>
    <row r="54" spans="1:11" outlineLevel="1" x14ac:dyDescent="0.2">
      <c r="B54" s="9" t="s">
        <v>232</v>
      </c>
      <c r="C54" s="27">
        <v>0</v>
      </c>
      <c r="D54" s="27">
        <v>0</v>
      </c>
      <c r="E54" s="27">
        <v>0</v>
      </c>
      <c r="F54" s="27">
        <v>0</v>
      </c>
      <c r="G54" s="27">
        <v>0</v>
      </c>
      <c r="H54" s="27">
        <v>38056</v>
      </c>
      <c r="I54" s="27"/>
      <c r="J54" s="27"/>
      <c r="K54" s="27"/>
    </row>
    <row r="55" spans="1:11" outlineLevel="1" x14ac:dyDescent="0.2">
      <c r="B55" s="9" t="s">
        <v>132</v>
      </c>
      <c r="C55" s="27">
        <v>10838</v>
      </c>
      <c r="D55" s="27">
        <v>16493</v>
      </c>
      <c r="E55" s="27">
        <v>17688</v>
      </c>
      <c r="F55" s="27">
        <v>24113</v>
      </c>
      <c r="G55" s="27">
        <v>32758</v>
      </c>
      <c r="H55" s="27">
        <v>49522</v>
      </c>
      <c r="I55" s="27"/>
      <c r="J55" s="27"/>
      <c r="K55" s="27"/>
    </row>
    <row r="56" spans="1:11" outlineLevel="1" x14ac:dyDescent="0.2">
      <c r="B56" s="9" t="s">
        <v>133</v>
      </c>
      <c r="C56" s="27">
        <v>0</v>
      </c>
      <c r="D56" s="27">
        <v>0</v>
      </c>
      <c r="E56" s="27">
        <v>0</v>
      </c>
      <c r="F56" s="27">
        <v>5875</v>
      </c>
      <c r="G56" s="27">
        <v>0</v>
      </c>
      <c r="H56" s="27">
        <v>705</v>
      </c>
      <c r="I56" s="27"/>
      <c r="J56" s="27"/>
      <c r="K56" s="27"/>
    </row>
    <row r="57" spans="1:11" s="54" customFormat="1" outlineLevel="1" x14ac:dyDescent="0.2">
      <c r="A57" s="7"/>
      <c r="B57" s="11" t="s">
        <v>32</v>
      </c>
      <c r="C57" s="57">
        <v>54990</v>
      </c>
      <c r="D57" s="57">
        <v>68432</v>
      </c>
      <c r="E57" s="57">
        <v>79039</v>
      </c>
      <c r="F57" s="57">
        <v>110119</v>
      </c>
      <c r="G57" s="57">
        <v>114023</v>
      </c>
      <c r="H57" s="57">
        <v>183241</v>
      </c>
      <c r="I57" s="57"/>
      <c r="J57" s="57"/>
      <c r="K57" s="57"/>
    </row>
    <row r="58" spans="1:11" outlineLevel="1" x14ac:dyDescent="0.2">
      <c r="B58" s="9" t="s">
        <v>134</v>
      </c>
      <c r="C58" s="27">
        <v>6471</v>
      </c>
      <c r="D58" s="27">
        <v>7423</v>
      </c>
      <c r="E58" s="27">
        <v>2725</v>
      </c>
      <c r="F58" s="27">
        <v>5400</v>
      </c>
      <c r="G58" s="27">
        <v>8150</v>
      </c>
      <c r="H58" s="27">
        <v>92117</v>
      </c>
      <c r="I58" s="27"/>
      <c r="J58" s="27"/>
      <c r="K58" s="27"/>
    </row>
    <row r="59" spans="1:11" outlineLevel="1" x14ac:dyDescent="0.2">
      <c r="B59" s="9" t="s">
        <v>135</v>
      </c>
      <c r="C59" s="27">
        <v>1899</v>
      </c>
      <c r="D59" s="27">
        <v>1276</v>
      </c>
      <c r="E59" s="27">
        <v>349</v>
      </c>
      <c r="F59" s="27">
        <v>134</v>
      </c>
      <c r="G59" s="27">
        <v>646</v>
      </c>
      <c r="H59" s="27">
        <v>1107</v>
      </c>
      <c r="I59" s="27"/>
      <c r="J59" s="27"/>
      <c r="K59" s="27"/>
    </row>
    <row r="60" spans="1:11" outlineLevel="1" x14ac:dyDescent="0.2">
      <c r="B60" s="9" t="s">
        <v>232</v>
      </c>
      <c r="C60" s="27">
        <v>0</v>
      </c>
      <c r="D60" s="27">
        <v>0</v>
      </c>
      <c r="E60" s="27">
        <v>0</v>
      </c>
      <c r="F60" s="27">
        <v>0</v>
      </c>
      <c r="G60" s="27">
        <v>0</v>
      </c>
      <c r="H60" s="27">
        <v>45329</v>
      </c>
      <c r="I60" s="27"/>
      <c r="J60" s="27"/>
      <c r="K60" s="27"/>
    </row>
    <row r="61" spans="1:11" outlineLevel="1" x14ac:dyDescent="0.2">
      <c r="B61" s="9" t="s">
        <v>132</v>
      </c>
      <c r="C61" s="27">
        <v>0</v>
      </c>
      <c r="D61" s="27">
        <v>65</v>
      </c>
      <c r="E61" s="27">
        <v>125</v>
      </c>
      <c r="F61" s="27">
        <v>97</v>
      </c>
      <c r="G61" s="27">
        <v>119</v>
      </c>
      <c r="H61" s="27">
        <v>244</v>
      </c>
      <c r="I61" s="27"/>
      <c r="J61" s="27"/>
      <c r="K61" s="27"/>
    </row>
    <row r="62" spans="1:11" outlineLevel="1" x14ac:dyDescent="0.2">
      <c r="B62" s="9" t="s">
        <v>106</v>
      </c>
      <c r="C62" s="27">
        <v>0</v>
      </c>
      <c r="D62" s="27">
        <v>0</v>
      </c>
      <c r="E62" s="27">
        <v>0</v>
      </c>
      <c r="F62" s="27">
        <v>270</v>
      </c>
      <c r="G62" s="27">
        <v>484</v>
      </c>
      <c r="H62" s="27">
        <v>4498</v>
      </c>
      <c r="I62" s="27"/>
      <c r="J62" s="27"/>
      <c r="K62" s="27"/>
    </row>
    <row r="63" spans="1:11" outlineLevel="1" x14ac:dyDescent="0.2">
      <c r="B63" s="9" t="s">
        <v>136</v>
      </c>
      <c r="C63" s="27">
        <v>0</v>
      </c>
      <c r="D63" s="27">
        <v>0</v>
      </c>
      <c r="E63" s="27">
        <v>0</v>
      </c>
      <c r="F63" s="27">
        <v>2857</v>
      </c>
      <c r="G63" s="27">
        <v>185</v>
      </c>
      <c r="H63" s="27">
        <v>47</v>
      </c>
      <c r="I63" s="27"/>
      <c r="J63" s="27"/>
      <c r="K63" s="27"/>
    </row>
    <row r="64" spans="1:11" s="54" customFormat="1" outlineLevel="1" x14ac:dyDescent="0.2">
      <c r="A64" s="7"/>
      <c r="B64" s="11" t="s">
        <v>30</v>
      </c>
      <c r="C64" s="58">
        <f t="shared" ref="C64:F64" si="4">SUM(C58:C63)</f>
        <v>8370</v>
      </c>
      <c r="D64" s="58">
        <f t="shared" si="4"/>
        <v>8764</v>
      </c>
      <c r="E64" s="58">
        <f t="shared" si="4"/>
        <v>3199</v>
      </c>
      <c r="F64" s="58">
        <f t="shared" si="4"/>
        <v>8758</v>
      </c>
      <c r="G64" s="58">
        <f>SUM(G58:G63)</f>
        <v>9584</v>
      </c>
      <c r="H64" s="58">
        <f t="shared" ref="H64:K64" si="5">SUM(H58:H58)</f>
        <v>92117</v>
      </c>
      <c r="I64" s="58">
        <f t="shared" si="5"/>
        <v>0</v>
      </c>
      <c r="J64" s="58">
        <f t="shared" si="5"/>
        <v>0</v>
      </c>
      <c r="K64" s="58">
        <f t="shared" si="5"/>
        <v>0</v>
      </c>
    </row>
    <row r="65" spans="1:11" s="55" customFormat="1" outlineLevel="1" x14ac:dyDescent="0.2">
      <c r="A65" s="7"/>
      <c r="B65" s="17" t="s">
        <v>31</v>
      </c>
      <c r="C65" s="53">
        <v>63360</v>
      </c>
      <c r="D65" s="53">
        <v>77196</v>
      </c>
      <c r="E65" s="53">
        <v>82238</v>
      </c>
      <c r="F65" s="53">
        <v>118877</v>
      </c>
      <c r="G65" s="53">
        <v>123607</v>
      </c>
      <c r="H65" s="53">
        <v>326583</v>
      </c>
      <c r="I65" s="53"/>
      <c r="J65" s="53"/>
      <c r="K65" s="53"/>
    </row>
    <row r="66" spans="1:11" outlineLevel="1" x14ac:dyDescent="0.2">
      <c r="B66" s="9" t="s">
        <v>137</v>
      </c>
      <c r="C66" s="27">
        <v>0</v>
      </c>
      <c r="D66" s="27">
        <v>0</v>
      </c>
      <c r="E66" s="27">
        <v>0</v>
      </c>
      <c r="F66" s="27">
        <v>0</v>
      </c>
      <c r="G66" s="27">
        <v>0</v>
      </c>
      <c r="H66" s="27">
        <v>0</v>
      </c>
      <c r="I66" s="27"/>
      <c r="J66" s="27"/>
      <c r="K66" s="27"/>
    </row>
    <row r="67" spans="1:11" outlineLevel="1" x14ac:dyDescent="0.2">
      <c r="B67" s="9" t="s">
        <v>33</v>
      </c>
      <c r="C67" s="27">
        <v>449</v>
      </c>
      <c r="D67" s="27">
        <v>521</v>
      </c>
      <c r="E67" s="27">
        <v>542</v>
      </c>
      <c r="F67" s="27">
        <v>577</v>
      </c>
      <c r="G67" s="27">
        <v>601</v>
      </c>
      <c r="H67" s="27">
        <v>620</v>
      </c>
      <c r="I67" s="27"/>
      <c r="J67" s="27"/>
      <c r="K67" s="27"/>
    </row>
    <row r="68" spans="1:11" outlineLevel="1" x14ac:dyDescent="0.2">
      <c r="B68" s="9" t="s">
        <v>98</v>
      </c>
      <c r="C68" s="27">
        <v>579599</v>
      </c>
      <c r="D68" s="27">
        <v>860657</v>
      </c>
      <c r="E68" s="27">
        <v>926957</v>
      </c>
      <c r="F68" s="27">
        <v>1039361</v>
      </c>
      <c r="G68" s="27">
        <v>1111274</v>
      </c>
      <c r="H68" s="27">
        <v>1181679</v>
      </c>
      <c r="I68" s="27"/>
      <c r="J68" s="27"/>
      <c r="K68" s="27"/>
    </row>
    <row r="69" spans="1:11" outlineLevel="1" x14ac:dyDescent="0.2">
      <c r="B69" s="9" t="s">
        <v>34</v>
      </c>
      <c r="C69" s="27">
        <v>-311777</v>
      </c>
      <c r="D69" s="27">
        <v>-429938</v>
      </c>
      <c r="E69" s="27">
        <v>-606084</v>
      </c>
      <c r="F69" s="27">
        <v>-742969</v>
      </c>
      <c r="G69" s="27">
        <v>-801496</v>
      </c>
      <c r="H69" s="27">
        <v>-799190</v>
      </c>
      <c r="I69" s="27"/>
      <c r="J69" s="27"/>
      <c r="K69" s="27"/>
    </row>
    <row r="70" spans="1:11" outlineLevel="1" x14ac:dyDescent="0.2">
      <c r="B70" s="9" t="s">
        <v>138</v>
      </c>
      <c r="C70" s="27">
        <v>0</v>
      </c>
      <c r="D70" s="27">
        <v>0</v>
      </c>
      <c r="E70" s="27">
        <v>0</v>
      </c>
      <c r="F70" s="27">
        <v>0</v>
      </c>
      <c r="G70" s="27">
        <v>-51</v>
      </c>
      <c r="H70" s="27">
        <v>-382</v>
      </c>
      <c r="I70" s="27"/>
      <c r="J70" s="27"/>
      <c r="K70" s="27"/>
    </row>
    <row r="71" spans="1:11" outlineLevel="1" x14ac:dyDescent="0.2">
      <c r="B71" s="9" t="s">
        <v>139</v>
      </c>
      <c r="C71" s="27">
        <v>-4965</v>
      </c>
      <c r="D71" s="27">
        <v>-13960</v>
      </c>
      <c r="E71" s="27">
        <v>-33596</v>
      </c>
      <c r="F71" s="27">
        <v>-45520</v>
      </c>
      <c r="G71" s="27">
        <v>-45520</v>
      </c>
      <c r="H71" s="27">
        <v>-45520</v>
      </c>
      <c r="I71" s="27"/>
      <c r="J71" s="27"/>
      <c r="K71" s="27"/>
    </row>
    <row r="72" spans="1:11" s="54" customFormat="1" outlineLevel="1" x14ac:dyDescent="0.2">
      <c r="A72" s="7"/>
      <c r="B72" s="11" t="s">
        <v>35</v>
      </c>
      <c r="C72" s="57">
        <v>263306</v>
      </c>
      <c r="D72" s="57">
        <v>417280</v>
      </c>
      <c r="E72" s="57">
        <v>287819</v>
      </c>
      <c r="F72" s="57">
        <v>251449</v>
      </c>
      <c r="G72" s="57">
        <v>264808</v>
      </c>
      <c r="H72" s="57">
        <v>337207</v>
      </c>
      <c r="I72" s="57"/>
      <c r="J72" s="57"/>
      <c r="K72" s="57"/>
    </row>
    <row r="73" spans="1:11" s="59" customFormat="1" ht="17" outlineLevel="1" thickBot="1" x14ac:dyDescent="0.25">
      <c r="A73" s="7"/>
      <c r="B73" s="19" t="s">
        <v>36</v>
      </c>
      <c r="C73" s="60">
        <v>326666</v>
      </c>
      <c r="D73" s="60">
        <v>494476</v>
      </c>
      <c r="E73" s="60">
        <v>370057</v>
      </c>
      <c r="F73" s="60">
        <v>370326</v>
      </c>
      <c r="G73" s="60">
        <v>388415</v>
      </c>
      <c r="H73" s="60">
        <v>663790</v>
      </c>
      <c r="I73" s="60"/>
      <c r="J73" s="60"/>
      <c r="K73" s="60"/>
    </row>
    <row r="74" spans="1:11" x14ac:dyDescent="0.2">
      <c r="B74" s="1"/>
    </row>
    <row r="75" spans="1:11" s="14" customFormat="1" ht="17" thickBot="1" x14ac:dyDescent="0.25">
      <c r="A75" s="4"/>
      <c r="B75" s="15" t="s">
        <v>37</v>
      </c>
    </row>
    <row r="76" spans="1:11" outlineLevel="1" x14ac:dyDescent="0.2">
      <c r="B76" s="9" t="s">
        <v>14</v>
      </c>
      <c r="C76" s="20">
        <f t="shared" ref="C76:K76" si="6">C21</f>
        <v>-27292</v>
      </c>
      <c r="D76" s="20">
        <f t="shared" si="6"/>
        <v>-118161</v>
      </c>
      <c r="E76" s="20">
        <f t="shared" si="6"/>
        <v>-176146</v>
      </c>
      <c r="F76" s="20">
        <f t="shared" si="6"/>
        <v>-136885</v>
      </c>
      <c r="G76" s="20">
        <f t="shared" si="6"/>
        <v>-58527</v>
      </c>
      <c r="H76" s="20">
        <f t="shared" si="6"/>
        <v>2306</v>
      </c>
      <c r="I76" s="20">
        <f t="shared" si="6"/>
        <v>0</v>
      </c>
      <c r="J76" s="20">
        <f t="shared" si="6"/>
        <v>0</v>
      </c>
      <c r="K76" s="20">
        <f t="shared" si="6"/>
        <v>0</v>
      </c>
    </row>
    <row r="77" spans="1:11" outlineLevel="1" x14ac:dyDescent="0.2">
      <c r="B77" s="9" t="s">
        <v>38</v>
      </c>
      <c r="C77" s="27">
        <v>15908</v>
      </c>
      <c r="D77" s="27">
        <v>21302</v>
      </c>
      <c r="E77" s="27">
        <v>25304</v>
      </c>
      <c r="F77" s="27">
        <v>29487</v>
      </c>
      <c r="G77" s="27">
        <v>27886</v>
      </c>
      <c r="H77" s="27">
        <v>31453</v>
      </c>
      <c r="I77" s="27"/>
      <c r="J77" s="27"/>
      <c r="K77" s="27"/>
    </row>
    <row r="78" spans="1:11" outlineLevel="1" x14ac:dyDescent="0.2">
      <c r="B78" s="12" t="s">
        <v>99</v>
      </c>
      <c r="C78" s="27">
        <v>13489</v>
      </c>
      <c r="D78" s="27">
        <v>36144</v>
      </c>
      <c r="E78" s="27">
        <v>58775</v>
      </c>
      <c r="F78" s="27">
        <v>71613</v>
      </c>
      <c r="G78" s="27">
        <v>66975</v>
      </c>
      <c r="H78" s="27">
        <v>67452</v>
      </c>
      <c r="I78" s="27"/>
      <c r="J78" s="27"/>
      <c r="K78" s="27"/>
    </row>
    <row r="79" spans="1:11" outlineLevel="1" x14ac:dyDescent="0.2">
      <c r="B79" s="12" t="s">
        <v>140</v>
      </c>
      <c r="C79" s="27">
        <v>389</v>
      </c>
      <c r="D79" s="27">
        <v>288</v>
      </c>
      <c r="E79" s="27">
        <v>310</v>
      </c>
      <c r="F79" s="27">
        <v>321</v>
      </c>
      <c r="G79" s="27">
        <v>236</v>
      </c>
      <c r="H79" s="27">
        <v>2977</v>
      </c>
      <c r="I79" s="27"/>
      <c r="J79" s="27"/>
      <c r="K79" s="27"/>
    </row>
    <row r="80" spans="1:11" outlineLevel="1" x14ac:dyDescent="0.2">
      <c r="B80" s="12" t="s">
        <v>160</v>
      </c>
      <c r="C80" s="27">
        <v>0</v>
      </c>
      <c r="D80" s="27">
        <v>0</v>
      </c>
      <c r="E80" s="27">
        <v>0</v>
      </c>
      <c r="F80" s="27">
        <v>1118</v>
      </c>
      <c r="G80" s="27">
        <v>0</v>
      </c>
      <c r="H80" s="27">
        <v>501</v>
      </c>
      <c r="I80" s="27"/>
      <c r="J80" s="27"/>
      <c r="K80" s="27"/>
    </row>
    <row r="81" spans="2:13" outlineLevel="1" x14ac:dyDescent="0.2">
      <c r="B81" s="12" t="s">
        <v>141</v>
      </c>
      <c r="C81" s="27">
        <v>0</v>
      </c>
      <c r="D81" s="27">
        <v>0</v>
      </c>
      <c r="E81" s="27">
        <v>0</v>
      </c>
      <c r="F81" s="27">
        <v>0</v>
      </c>
      <c r="G81" s="27">
        <v>-2345</v>
      </c>
      <c r="H81" s="27">
        <v>0</v>
      </c>
      <c r="I81" s="27"/>
      <c r="J81" s="27"/>
      <c r="K81" s="27"/>
    </row>
    <row r="82" spans="2:13" outlineLevel="1" x14ac:dyDescent="0.2">
      <c r="B82" s="12" t="s">
        <v>142</v>
      </c>
      <c r="C82" s="27">
        <v>762</v>
      </c>
      <c r="D82" s="27">
        <v>672</v>
      </c>
      <c r="E82" s="27">
        <v>1598</v>
      </c>
      <c r="F82" s="27">
        <v>1619</v>
      </c>
      <c r="G82" s="27">
        <v>1873</v>
      </c>
      <c r="H82" s="27">
        <v>1022</v>
      </c>
      <c r="I82" s="27"/>
      <c r="J82" s="27"/>
      <c r="K82" s="27"/>
    </row>
    <row r="83" spans="2:13" outlineLevel="1" x14ac:dyDescent="0.2">
      <c r="B83" s="12" t="s">
        <v>143</v>
      </c>
      <c r="C83" s="27">
        <v>2025</v>
      </c>
      <c r="D83" s="27">
        <v>2211</v>
      </c>
      <c r="E83" s="27">
        <v>1696</v>
      </c>
      <c r="F83" s="27">
        <v>1056</v>
      </c>
      <c r="G83" s="27">
        <v>1815</v>
      </c>
      <c r="H83" s="27">
        <v>570</v>
      </c>
      <c r="I83" s="27"/>
      <c r="J83" s="27"/>
      <c r="K83" s="27"/>
    </row>
    <row r="84" spans="2:13" outlineLevel="1" x14ac:dyDescent="0.2">
      <c r="B84" s="12" t="s">
        <v>144</v>
      </c>
      <c r="C84" s="27">
        <v>1766</v>
      </c>
      <c r="D84" s="27">
        <v>1004</v>
      </c>
      <c r="E84" s="27">
        <v>1768</v>
      </c>
      <c r="F84" s="27">
        <v>702</v>
      </c>
      <c r="G84" s="27">
        <v>747</v>
      </c>
      <c r="H84" s="27">
        <v>914</v>
      </c>
      <c r="I84" s="27"/>
      <c r="J84" s="27"/>
      <c r="K84" s="27"/>
    </row>
    <row r="85" spans="2:13" outlineLevel="1" x14ac:dyDescent="0.2">
      <c r="B85" s="12" t="s">
        <v>161</v>
      </c>
      <c r="C85" s="27">
        <v>0</v>
      </c>
      <c r="D85" s="27">
        <v>258</v>
      </c>
      <c r="E85" s="27">
        <v>0</v>
      </c>
      <c r="F85" s="27">
        <v>0</v>
      </c>
      <c r="G85" s="27">
        <v>0</v>
      </c>
      <c r="H85" s="27">
        <v>0</v>
      </c>
      <c r="I85" s="27"/>
      <c r="J85" s="27"/>
      <c r="K85" s="27"/>
    </row>
    <row r="86" spans="2:13" outlineLevel="1" x14ac:dyDescent="0.2">
      <c r="B86" s="12" t="s">
        <v>145</v>
      </c>
      <c r="C86" s="27">
        <v>-65</v>
      </c>
      <c r="D86" s="27">
        <v>143</v>
      </c>
      <c r="E86" s="27">
        <v>434</v>
      </c>
      <c r="F86" s="27">
        <v>228</v>
      </c>
      <c r="G86" s="27">
        <v>214</v>
      </c>
      <c r="H86" s="27">
        <v>-13271</v>
      </c>
      <c r="I86" s="27"/>
      <c r="J86" s="27"/>
      <c r="K86" s="27"/>
    </row>
    <row r="87" spans="2:13" outlineLevel="1" x14ac:dyDescent="0.2">
      <c r="B87" s="12" t="s">
        <v>235</v>
      </c>
      <c r="C87" s="27">
        <v>0</v>
      </c>
      <c r="D87" s="27">
        <v>0</v>
      </c>
      <c r="E87" s="27">
        <v>0</v>
      </c>
      <c r="F87" s="27">
        <v>0</v>
      </c>
      <c r="G87" s="27">
        <v>0</v>
      </c>
      <c r="H87" s="27">
        <v>-1020</v>
      </c>
      <c r="I87" s="27"/>
      <c r="J87" s="27"/>
      <c r="K87" s="27"/>
    </row>
    <row r="88" spans="2:13" outlineLevel="1" x14ac:dyDescent="0.2">
      <c r="B88" s="9" t="s">
        <v>39</v>
      </c>
      <c r="C88" s="27">
        <v>-6619</v>
      </c>
      <c r="D88" s="27">
        <v>-10216</v>
      </c>
      <c r="E88" s="27">
        <v>-11132</v>
      </c>
      <c r="F88" s="27">
        <v>-11205</v>
      </c>
      <c r="G88" s="27">
        <v>-8812</v>
      </c>
      <c r="H88" s="27">
        <v>-23397</v>
      </c>
      <c r="I88" s="27"/>
      <c r="J88" s="27"/>
      <c r="K88" s="27"/>
      <c r="L88" s="27"/>
      <c r="M88" s="27"/>
    </row>
    <row r="89" spans="2:13" outlineLevel="1" x14ac:dyDescent="0.2">
      <c r="B89" s="9" t="s">
        <v>236</v>
      </c>
      <c r="C89" s="27">
        <v>0</v>
      </c>
      <c r="D89" s="27">
        <v>0</v>
      </c>
      <c r="E89" s="27">
        <v>0</v>
      </c>
      <c r="F89" s="27">
        <v>0</v>
      </c>
      <c r="G89" s="27">
        <v>0</v>
      </c>
      <c r="H89" s="27">
        <v>13691</v>
      </c>
      <c r="I89" s="27"/>
      <c r="J89" s="27"/>
      <c r="K89" s="27"/>
    </row>
    <row r="90" spans="2:13" outlineLevel="1" x14ac:dyDescent="0.2">
      <c r="B90" s="9" t="s">
        <v>237</v>
      </c>
      <c r="C90" s="27">
        <v>0</v>
      </c>
      <c r="D90" s="27">
        <v>0</v>
      </c>
      <c r="E90" s="27">
        <v>0</v>
      </c>
      <c r="F90" s="27">
        <v>0</v>
      </c>
      <c r="G90" s="27">
        <v>0</v>
      </c>
      <c r="H90" s="27">
        <v>-446</v>
      </c>
      <c r="I90" s="27"/>
      <c r="J90" s="27"/>
      <c r="K90" s="27"/>
    </row>
    <row r="91" spans="2:13" outlineLevel="1" x14ac:dyDescent="0.2">
      <c r="B91" s="9" t="s">
        <v>101</v>
      </c>
      <c r="C91" s="27">
        <v>-1600</v>
      </c>
      <c r="D91" s="27">
        <v>-7192</v>
      </c>
      <c r="E91" s="27">
        <v>250</v>
      </c>
      <c r="F91" s="27">
        <v>-2209</v>
      </c>
      <c r="G91" s="27">
        <v>-1427</v>
      </c>
      <c r="H91" s="27">
        <v>-1393</v>
      </c>
      <c r="I91" s="27"/>
      <c r="J91" s="27"/>
      <c r="K91" s="27"/>
    </row>
    <row r="92" spans="2:13" outlineLevel="1" x14ac:dyDescent="0.2">
      <c r="B92" s="9" t="s">
        <v>146</v>
      </c>
      <c r="C92" s="27">
        <v>-1652</v>
      </c>
      <c r="D92" s="27">
        <v>-3349</v>
      </c>
      <c r="E92" s="27">
        <v>-427</v>
      </c>
      <c r="F92" s="27">
        <v>0</v>
      </c>
      <c r="G92" s="27">
        <v>-1045</v>
      </c>
      <c r="H92" s="27">
        <v>-334</v>
      </c>
      <c r="I92" s="27"/>
      <c r="J92" s="27"/>
      <c r="K92" s="27"/>
    </row>
    <row r="93" spans="2:13" outlineLevel="1" x14ac:dyDescent="0.2">
      <c r="B93" s="9" t="s">
        <v>40</v>
      </c>
      <c r="C93" s="27">
        <v>-3821</v>
      </c>
      <c r="D93" s="27">
        <v>2881</v>
      </c>
      <c r="E93" s="27">
        <v>4774</v>
      </c>
      <c r="F93" s="27">
        <v>-1993</v>
      </c>
      <c r="G93" s="27">
        <v>-3234</v>
      </c>
      <c r="H93" s="27">
        <v>5261</v>
      </c>
      <c r="I93" s="27"/>
      <c r="J93" s="27"/>
      <c r="K93" s="27"/>
    </row>
    <row r="94" spans="2:13" outlineLevel="1" x14ac:dyDescent="0.2">
      <c r="B94" s="9" t="s">
        <v>102</v>
      </c>
      <c r="C94" s="27">
        <v>6004</v>
      </c>
      <c r="D94" s="27">
        <v>-2983</v>
      </c>
      <c r="E94" s="27">
        <v>2720</v>
      </c>
      <c r="F94" s="27">
        <v>14195</v>
      </c>
      <c r="G94" s="27">
        <v>182</v>
      </c>
      <c r="H94" s="27">
        <v>2894</v>
      </c>
      <c r="I94" s="27"/>
      <c r="J94" s="27"/>
      <c r="K94" s="27"/>
    </row>
    <row r="95" spans="2:13" outlineLevel="1" x14ac:dyDescent="0.2">
      <c r="B95" s="9" t="s">
        <v>238</v>
      </c>
      <c r="C95" s="27">
        <v>0</v>
      </c>
      <c r="D95" s="27">
        <v>0</v>
      </c>
      <c r="E95" s="27">
        <v>0</v>
      </c>
      <c r="F95" s="27">
        <v>0</v>
      </c>
      <c r="G95" s="27">
        <v>0</v>
      </c>
      <c r="H95" s="27">
        <v>-17588</v>
      </c>
      <c r="I95" s="27"/>
      <c r="J95" s="27"/>
      <c r="K95" s="27"/>
    </row>
    <row r="96" spans="2:13" outlineLevel="1" x14ac:dyDescent="0.2">
      <c r="B96" s="9" t="s">
        <v>147</v>
      </c>
      <c r="C96" s="27">
        <v>-1786</v>
      </c>
      <c r="D96" s="27">
        <v>-1060</v>
      </c>
      <c r="E96" s="27">
        <v>-1302</v>
      </c>
      <c r="F96" s="27">
        <v>-1156</v>
      </c>
      <c r="G96" s="27">
        <v>-824</v>
      </c>
      <c r="H96" s="27">
        <v>-1107</v>
      </c>
      <c r="I96" s="27"/>
      <c r="J96" s="27"/>
      <c r="K96" s="27"/>
    </row>
    <row r="97" spans="1:11" outlineLevel="1" x14ac:dyDescent="0.2">
      <c r="B97" s="9" t="s">
        <v>100</v>
      </c>
      <c r="C97" s="27">
        <v>5382</v>
      </c>
      <c r="D97" s="27">
        <v>3348</v>
      </c>
      <c r="E97" s="27">
        <v>1255</v>
      </c>
      <c r="F97" s="27">
        <v>731</v>
      </c>
      <c r="G97" s="27">
        <v>8667</v>
      </c>
      <c r="H97" s="27">
        <v>8329</v>
      </c>
      <c r="I97" s="27"/>
      <c r="J97" s="27"/>
      <c r="K97" s="27"/>
    </row>
    <row r="98" spans="1:11" s="55" customFormat="1" outlineLevel="1" x14ac:dyDescent="0.2">
      <c r="A98" s="7"/>
      <c r="B98" s="17" t="s">
        <v>41</v>
      </c>
      <c r="C98" s="53">
        <v>2890</v>
      </c>
      <c r="D98" s="53">
        <v>-74710</v>
      </c>
      <c r="E98" s="53">
        <v>-90123</v>
      </c>
      <c r="F98" s="53">
        <v>-32378</v>
      </c>
      <c r="G98" s="53">
        <v>32381</v>
      </c>
      <c r="H98" s="53">
        <v>78814</v>
      </c>
      <c r="I98" s="53"/>
      <c r="J98" s="53"/>
      <c r="K98" s="53"/>
    </row>
    <row r="99" spans="1:11" outlineLevel="1" x14ac:dyDescent="0.2">
      <c r="B99" s="9" t="s">
        <v>148</v>
      </c>
      <c r="C99" s="27">
        <v>-6510</v>
      </c>
      <c r="D99" s="27">
        <v>-34423</v>
      </c>
      <c r="E99" s="27">
        <v>0</v>
      </c>
      <c r="F99" s="27">
        <v>-14573</v>
      </c>
      <c r="G99" s="27">
        <v>0</v>
      </c>
      <c r="H99" s="27">
        <v>-153191</v>
      </c>
      <c r="I99" s="27"/>
      <c r="J99" s="27"/>
      <c r="K99" s="27"/>
    </row>
    <row r="100" spans="1:11" outlineLevel="1" x14ac:dyDescent="0.2">
      <c r="B100" s="9" t="s">
        <v>127</v>
      </c>
      <c r="C100" s="27">
        <v>-7334</v>
      </c>
      <c r="D100" s="27">
        <v>-12385</v>
      </c>
      <c r="E100" s="27">
        <v>-21471</v>
      </c>
      <c r="F100" s="27">
        <v>-19291</v>
      </c>
      <c r="G100" s="27">
        <v>-15380</v>
      </c>
      <c r="H100" s="27">
        <v>-13296</v>
      </c>
      <c r="I100" s="27"/>
      <c r="J100" s="27"/>
      <c r="K100" s="27"/>
    </row>
    <row r="101" spans="1:11" outlineLevel="1" x14ac:dyDescent="0.2">
      <c r="B101" s="9" t="s">
        <v>42</v>
      </c>
      <c r="C101" s="27">
        <v>-11241</v>
      </c>
      <c r="D101" s="27">
        <v>-18420</v>
      </c>
      <c r="E101" s="27">
        <v>-4732</v>
      </c>
      <c r="F101" s="27">
        <v>-5806</v>
      </c>
      <c r="G101" s="27">
        <v>-8709</v>
      </c>
      <c r="H101" s="27">
        <v>-11101</v>
      </c>
      <c r="I101" s="27"/>
      <c r="J101" s="27"/>
      <c r="K101" s="27"/>
    </row>
    <row r="102" spans="1:11" outlineLevel="1" x14ac:dyDescent="0.2">
      <c r="B102" s="9" t="s">
        <v>239</v>
      </c>
      <c r="C102" s="27">
        <v>0</v>
      </c>
      <c r="D102" s="27">
        <v>0</v>
      </c>
      <c r="E102" s="27">
        <v>0</v>
      </c>
      <c r="F102" s="27">
        <v>0</v>
      </c>
      <c r="G102" s="27">
        <v>0</v>
      </c>
      <c r="H102" s="27">
        <v>15709</v>
      </c>
      <c r="I102" s="27"/>
      <c r="J102" s="27"/>
      <c r="K102" s="27"/>
    </row>
    <row r="103" spans="1:11" s="55" customFormat="1" outlineLevel="1" x14ac:dyDescent="0.2">
      <c r="A103" s="7"/>
      <c r="B103" s="17" t="s">
        <v>43</v>
      </c>
      <c r="C103" s="53">
        <v>-25085</v>
      </c>
      <c r="D103" s="53">
        <v>-65228</v>
      </c>
      <c r="E103" s="53">
        <v>-26203</v>
      </c>
      <c r="F103" s="53">
        <v>-39670</v>
      </c>
      <c r="G103" s="53">
        <v>-24089</v>
      </c>
      <c r="H103" s="53">
        <v>-161879</v>
      </c>
      <c r="I103" s="53"/>
      <c r="J103" s="53"/>
      <c r="K103" s="53"/>
    </row>
    <row r="104" spans="1:11" outlineLevel="1" x14ac:dyDescent="0.2">
      <c r="B104" s="9" t="s">
        <v>103</v>
      </c>
      <c r="C104" s="27">
        <v>174800</v>
      </c>
      <c r="D104" s="27">
        <v>245813</v>
      </c>
      <c r="E104" s="27">
        <v>1603</v>
      </c>
      <c r="F104" s="27">
        <v>955</v>
      </c>
      <c r="G104" s="27">
        <v>1012</v>
      </c>
      <c r="H104" s="27">
        <v>1454</v>
      </c>
      <c r="I104" s="27"/>
      <c r="J104" s="27"/>
      <c r="K104" s="27"/>
    </row>
    <row r="105" spans="1:11" outlineLevel="1" x14ac:dyDescent="0.2">
      <c r="B105" s="9" t="s">
        <v>162</v>
      </c>
      <c r="C105" s="27">
        <v>4385</v>
      </c>
      <c r="D105" s="27">
        <v>4889</v>
      </c>
      <c r="E105" s="27">
        <v>0</v>
      </c>
      <c r="F105" s="27">
        <v>0</v>
      </c>
      <c r="G105" s="27">
        <v>0</v>
      </c>
      <c r="H105" s="27">
        <v>0</v>
      </c>
      <c r="I105" s="27"/>
      <c r="J105" s="27"/>
      <c r="K105" s="27"/>
    </row>
    <row r="106" spans="1:11" outlineLevel="1" x14ac:dyDescent="0.2">
      <c r="B106" s="9" t="s">
        <v>149</v>
      </c>
      <c r="C106" s="27">
        <v>-4965</v>
      </c>
      <c r="D106" s="27">
        <v>-8995</v>
      </c>
      <c r="E106" s="27">
        <v>-19383</v>
      </c>
      <c r="F106" s="27">
        <v>-12176</v>
      </c>
      <c r="G106" s="27">
        <v>0</v>
      </c>
      <c r="H106" s="27">
        <v>0</v>
      </c>
      <c r="I106" s="27"/>
      <c r="J106" s="27"/>
      <c r="K106" s="27"/>
    </row>
    <row r="107" spans="1:11" outlineLevel="1" x14ac:dyDescent="0.2">
      <c r="B107" s="9" t="s">
        <v>163</v>
      </c>
      <c r="C107" s="27">
        <v>-290</v>
      </c>
      <c r="D107" s="27">
        <v>0</v>
      </c>
      <c r="E107" s="27">
        <v>0</v>
      </c>
      <c r="F107" s="27">
        <v>0</v>
      </c>
      <c r="G107" s="27">
        <v>0</v>
      </c>
      <c r="H107" s="27">
        <v>0</v>
      </c>
      <c r="I107" s="27"/>
      <c r="J107" s="27"/>
      <c r="K107" s="27"/>
    </row>
    <row r="108" spans="1:11" outlineLevel="1" x14ac:dyDescent="0.2">
      <c r="B108" s="9" t="s">
        <v>150</v>
      </c>
      <c r="C108" s="27">
        <v>0</v>
      </c>
      <c r="D108" s="27">
        <v>1979</v>
      </c>
      <c r="E108" s="27">
        <v>3321</v>
      </c>
      <c r="F108" s="27">
        <v>3209</v>
      </c>
      <c r="G108" s="27">
        <v>2918</v>
      </c>
      <c r="H108" s="27">
        <v>2371</v>
      </c>
      <c r="I108" s="27"/>
      <c r="J108" s="27"/>
      <c r="K108" s="27"/>
    </row>
    <row r="109" spans="1:11" outlineLevel="1" x14ac:dyDescent="0.2">
      <c r="B109" s="9" t="s">
        <v>164</v>
      </c>
      <c r="C109" s="27">
        <v>2009</v>
      </c>
      <c r="D109" s="27">
        <v>0</v>
      </c>
      <c r="E109" s="27">
        <v>0</v>
      </c>
      <c r="F109" s="27">
        <v>0</v>
      </c>
      <c r="G109" s="27">
        <v>0</v>
      </c>
      <c r="H109" s="27">
        <v>0</v>
      </c>
      <c r="I109" s="27"/>
      <c r="J109" s="27"/>
      <c r="K109" s="27"/>
    </row>
    <row r="110" spans="1:11" outlineLevel="1" x14ac:dyDescent="0.2">
      <c r="B110" s="9" t="s">
        <v>151</v>
      </c>
      <c r="C110" s="27">
        <v>-2630</v>
      </c>
      <c r="D110" s="27">
        <v>-4267</v>
      </c>
      <c r="E110" s="27">
        <v>-5731</v>
      </c>
      <c r="F110" s="27">
        <v>-6779</v>
      </c>
      <c r="G110" s="27">
        <v>-7811</v>
      </c>
      <c r="H110" s="27">
        <v>-6825</v>
      </c>
      <c r="I110" s="27"/>
      <c r="J110" s="27"/>
      <c r="K110" s="27"/>
    </row>
    <row r="111" spans="1:11" outlineLevel="1" x14ac:dyDescent="0.2">
      <c r="B111" s="9" t="s">
        <v>152</v>
      </c>
      <c r="C111" s="27">
        <v>0</v>
      </c>
      <c r="D111" s="27">
        <v>0</v>
      </c>
      <c r="E111" s="27">
        <v>0</v>
      </c>
      <c r="F111" s="27">
        <v>1688</v>
      </c>
      <c r="G111" s="27">
        <v>0</v>
      </c>
      <c r="H111" s="27">
        <v>0</v>
      </c>
      <c r="I111" s="27"/>
      <c r="J111" s="27"/>
      <c r="K111" s="27"/>
    </row>
    <row r="112" spans="1:11" outlineLevel="1" x14ac:dyDescent="0.2">
      <c r="B112" s="9" t="s">
        <v>153</v>
      </c>
      <c r="C112" s="27">
        <v>-1691</v>
      </c>
      <c r="D112" s="27">
        <v>-1039</v>
      </c>
      <c r="E112" s="27">
        <v>-216</v>
      </c>
      <c r="F112" s="27">
        <v>-600</v>
      </c>
      <c r="G112" s="27">
        <v>-1199</v>
      </c>
      <c r="H112" s="27">
        <v>-1330</v>
      </c>
      <c r="I112" s="27"/>
      <c r="J112" s="27"/>
      <c r="K112" s="27"/>
    </row>
    <row r="113" spans="1:20" outlineLevel="1" x14ac:dyDescent="0.2">
      <c r="B113" s="9" t="s">
        <v>154</v>
      </c>
      <c r="C113" s="27">
        <v>-69</v>
      </c>
      <c r="D113" s="27">
        <v>0</v>
      </c>
      <c r="E113" s="27">
        <v>-397</v>
      </c>
      <c r="F113" s="27">
        <v>-1321</v>
      </c>
      <c r="G113" s="27">
        <v>-152</v>
      </c>
      <c r="H113" s="27">
        <v>-3190</v>
      </c>
      <c r="I113" s="27"/>
      <c r="J113" s="27"/>
      <c r="K113" s="27"/>
    </row>
    <row r="114" spans="1:20" outlineLevel="1" x14ac:dyDescent="0.2">
      <c r="B114" s="9" t="s">
        <v>165</v>
      </c>
      <c r="C114" s="27">
        <v>-225</v>
      </c>
      <c r="D114" s="27">
        <v>-125</v>
      </c>
      <c r="E114" s="27">
        <v>0</v>
      </c>
      <c r="F114" s="27">
        <v>0</v>
      </c>
      <c r="G114" s="27">
        <v>0</v>
      </c>
      <c r="H114" s="27">
        <v>0</v>
      </c>
      <c r="I114" s="27"/>
      <c r="J114" s="27"/>
      <c r="K114" s="27"/>
    </row>
    <row r="115" spans="1:20" outlineLevel="1" x14ac:dyDescent="0.2">
      <c r="B115" s="9" t="s">
        <v>155</v>
      </c>
      <c r="C115" s="27">
        <v>0</v>
      </c>
      <c r="D115" s="27">
        <v>-3286</v>
      </c>
      <c r="E115" s="27">
        <v>0</v>
      </c>
      <c r="F115" s="27">
        <v>-1333</v>
      </c>
      <c r="G115" s="27">
        <v>-6254</v>
      </c>
      <c r="H115" s="27">
        <v>0</v>
      </c>
      <c r="I115" s="27"/>
      <c r="J115" s="27"/>
      <c r="K115" s="27"/>
    </row>
    <row r="116" spans="1:20" outlineLevel="1" x14ac:dyDescent="0.2">
      <c r="B116" s="9" t="s">
        <v>166</v>
      </c>
      <c r="C116" s="27">
        <v>-20663</v>
      </c>
      <c r="D116" s="27">
        <v>0</v>
      </c>
      <c r="E116" s="27">
        <v>0</v>
      </c>
      <c r="F116" s="27">
        <v>0</v>
      </c>
      <c r="G116" s="27">
        <v>0</v>
      </c>
      <c r="H116" s="27">
        <v>0</v>
      </c>
      <c r="I116" s="27"/>
      <c r="J116" s="27"/>
      <c r="K116" s="27"/>
    </row>
    <row r="117" spans="1:20" outlineLevel="1" x14ac:dyDescent="0.2">
      <c r="B117" s="9" t="s">
        <v>156</v>
      </c>
      <c r="C117" s="27">
        <v>0</v>
      </c>
      <c r="D117" s="27">
        <v>0</v>
      </c>
      <c r="E117" s="27">
        <v>0</v>
      </c>
      <c r="F117" s="27">
        <v>-758</v>
      </c>
      <c r="G117" s="27">
        <v>0</v>
      </c>
      <c r="H117" s="27">
        <v>0</v>
      </c>
      <c r="I117" s="27"/>
      <c r="J117" s="27"/>
      <c r="K117" s="27"/>
    </row>
    <row r="118" spans="1:20" outlineLevel="1" x14ac:dyDescent="0.2">
      <c r="B118" s="9" t="s">
        <v>240</v>
      </c>
      <c r="C118" s="27">
        <v>0</v>
      </c>
      <c r="D118" s="27">
        <v>0</v>
      </c>
      <c r="E118" s="27">
        <v>0</v>
      </c>
      <c r="F118" s="27">
        <v>0</v>
      </c>
      <c r="G118" s="27">
        <v>0</v>
      </c>
      <c r="H118" s="27">
        <v>110000</v>
      </c>
      <c r="I118" s="27"/>
      <c r="J118" s="27"/>
      <c r="K118" s="27"/>
    </row>
    <row r="119" spans="1:20" outlineLevel="1" x14ac:dyDescent="0.2">
      <c r="B119" s="9" t="s">
        <v>241</v>
      </c>
      <c r="C119" s="27">
        <v>0</v>
      </c>
      <c r="D119" s="27">
        <v>0</v>
      </c>
      <c r="E119" s="27">
        <v>0</v>
      </c>
      <c r="F119" s="27">
        <v>0</v>
      </c>
      <c r="G119" s="27">
        <v>0</v>
      </c>
      <c r="H119" s="27">
        <v>-20000</v>
      </c>
      <c r="I119" s="27"/>
      <c r="J119" s="27"/>
      <c r="K119" s="27"/>
    </row>
    <row r="120" spans="1:20" outlineLevel="1" x14ac:dyDescent="0.2">
      <c r="B120" s="9" t="s">
        <v>242</v>
      </c>
      <c r="C120" s="27">
        <v>0</v>
      </c>
      <c r="D120" s="27">
        <v>0</v>
      </c>
      <c r="E120" s="27">
        <v>0</v>
      </c>
      <c r="F120" s="27">
        <v>0</v>
      </c>
      <c r="G120" s="27">
        <v>0</v>
      </c>
      <c r="H120" s="27">
        <v>-9629</v>
      </c>
      <c r="I120" s="27"/>
      <c r="J120" s="27"/>
      <c r="K120" s="27"/>
    </row>
    <row r="121" spans="1:20" s="55" customFormat="1" outlineLevel="1" x14ac:dyDescent="0.2">
      <c r="A121" s="7"/>
      <c r="B121" s="17" t="s">
        <v>44</v>
      </c>
      <c r="C121" s="53">
        <v>150661</v>
      </c>
      <c r="D121" s="53">
        <v>234969</v>
      </c>
      <c r="E121" s="53">
        <v>-20803</v>
      </c>
      <c r="F121" s="53">
        <v>-17115</v>
      </c>
      <c r="G121" s="53">
        <v>-11486</v>
      </c>
      <c r="H121" s="53">
        <v>72851</v>
      </c>
      <c r="I121" s="53"/>
      <c r="J121" s="53"/>
      <c r="K121" s="53"/>
    </row>
    <row r="122" spans="1:20" s="54" customFormat="1" outlineLevel="1" x14ac:dyDescent="0.2">
      <c r="A122" s="7"/>
      <c r="B122" s="12" t="s">
        <v>157</v>
      </c>
      <c r="C122" s="27">
        <v>0</v>
      </c>
      <c r="D122" s="27">
        <v>0</v>
      </c>
      <c r="E122" s="27">
        <v>0</v>
      </c>
      <c r="F122" s="27">
        <v>0</v>
      </c>
      <c r="G122" s="27">
        <v>-106</v>
      </c>
      <c r="H122" s="27">
        <v>-176</v>
      </c>
      <c r="I122" s="27"/>
      <c r="J122" s="27"/>
      <c r="K122" s="27"/>
      <c r="L122" s="8"/>
      <c r="M122" s="8"/>
      <c r="N122" s="8"/>
      <c r="O122" s="8"/>
      <c r="P122" s="8"/>
      <c r="Q122" s="8"/>
      <c r="R122" s="8"/>
      <c r="S122" s="8"/>
      <c r="T122" s="8"/>
    </row>
    <row r="123" spans="1:20" s="54" customFormat="1" outlineLevel="1" x14ac:dyDescent="0.2">
      <c r="A123" s="7"/>
      <c r="B123" s="11" t="s">
        <v>45</v>
      </c>
      <c r="C123" s="57">
        <v>128466</v>
      </c>
      <c r="D123" s="57">
        <v>95031</v>
      </c>
      <c r="E123" s="57">
        <v>-137129</v>
      </c>
      <c r="F123" s="57">
        <v>-89163</v>
      </c>
      <c r="G123" s="57">
        <v>-3300</v>
      </c>
      <c r="H123" s="57">
        <v>-10390</v>
      </c>
      <c r="I123" s="57"/>
      <c r="J123" s="57"/>
      <c r="K123" s="57"/>
    </row>
    <row r="124" spans="1:20" s="54" customFormat="1" outlineLevel="1" x14ac:dyDescent="0.2">
      <c r="A124" s="7"/>
      <c r="B124" s="11" t="s">
        <v>46</v>
      </c>
      <c r="C124" s="57">
        <v>90315</v>
      </c>
      <c r="D124" s="57">
        <v>218781</v>
      </c>
      <c r="E124" s="57">
        <v>313812</v>
      </c>
      <c r="F124" s="57">
        <v>176683</v>
      </c>
      <c r="G124" s="57">
        <v>87520</v>
      </c>
      <c r="H124" s="57">
        <v>84220</v>
      </c>
      <c r="I124" s="57"/>
      <c r="J124" s="57"/>
      <c r="K124" s="57"/>
    </row>
    <row r="125" spans="1:20" s="59" customFormat="1" ht="17" outlineLevel="1" thickBot="1" x14ac:dyDescent="0.25">
      <c r="A125" s="7"/>
      <c r="B125" s="19" t="s">
        <v>47</v>
      </c>
      <c r="C125" s="53">
        <v>218781</v>
      </c>
      <c r="D125" s="53">
        <v>313812</v>
      </c>
      <c r="E125" s="53">
        <v>176683</v>
      </c>
      <c r="F125" s="53">
        <v>87520</v>
      </c>
      <c r="G125" s="53">
        <v>84220</v>
      </c>
      <c r="H125" s="53">
        <v>73830</v>
      </c>
      <c r="I125" s="53"/>
      <c r="J125" s="53"/>
      <c r="K125" s="53"/>
    </row>
    <row r="126" spans="1:20" x14ac:dyDescent="0.2">
      <c r="B126" s="1"/>
    </row>
    <row r="127" spans="1:20" s="14" customFormat="1" ht="17" thickBot="1" x14ac:dyDescent="0.25">
      <c r="A127" s="4"/>
      <c r="B127" s="15" t="s">
        <v>48</v>
      </c>
    </row>
    <row r="128" spans="1:20" hidden="1" outlineLevel="2" x14ac:dyDescent="0.2">
      <c r="B128" s="9" t="s">
        <v>49</v>
      </c>
      <c r="C128" s="20">
        <f t="shared" ref="C128:K128" si="7">C5-C6-C13+C15+C16+C17+C18+C20</f>
        <v>-27292</v>
      </c>
      <c r="D128" s="20">
        <f t="shared" si="7"/>
        <v>-118161</v>
      </c>
      <c r="E128" s="20">
        <f t="shared" si="7"/>
        <v>-176146</v>
      </c>
      <c r="F128" s="20">
        <f t="shared" si="7"/>
        <v>-136885</v>
      </c>
      <c r="G128" s="20">
        <f t="shared" si="7"/>
        <v>-58527</v>
      </c>
      <c r="H128" s="20">
        <f t="shared" si="7"/>
        <v>2306</v>
      </c>
      <c r="I128" s="20">
        <f t="shared" si="7"/>
        <v>0</v>
      </c>
      <c r="J128" s="20">
        <f t="shared" si="7"/>
        <v>0</v>
      </c>
      <c r="K128" s="20">
        <f t="shared" si="7"/>
        <v>0</v>
      </c>
    </row>
    <row r="129" spans="1:11" s="18" customFormat="1" outlineLevel="1" collapsed="1" x14ac:dyDescent="0.2">
      <c r="A129" s="7"/>
      <c r="B129" s="17" t="s">
        <v>50</v>
      </c>
      <c r="C129" s="24">
        <f t="shared" ref="C129:K129" si="8">C21-C128</f>
        <v>0</v>
      </c>
      <c r="D129" s="24">
        <f t="shared" si="8"/>
        <v>0</v>
      </c>
      <c r="E129" s="24">
        <f t="shared" si="8"/>
        <v>0</v>
      </c>
      <c r="F129" s="24">
        <f t="shared" si="8"/>
        <v>0</v>
      </c>
      <c r="G129" s="24">
        <f t="shared" si="8"/>
        <v>0</v>
      </c>
      <c r="H129" s="24">
        <f t="shared" si="8"/>
        <v>0</v>
      </c>
      <c r="I129" s="24">
        <f t="shared" si="8"/>
        <v>0</v>
      </c>
      <c r="J129" s="24">
        <f t="shared" si="8"/>
        <v>0</v>
      </c>
      <c r="K129" s="24">
        <f t="shared" si="8"/>
        <v>0</v>
      </c>
    </row>
    <row r="130" spans="1:11" hidden="1" outlineLevel="2" x14ac:dyDescent="0.2">
      <c r="B130" s="9" t="s">
        <v>51</v>
      </c>
      <c r="C130" s="20">
        <f t="shared" ref="C130:K130" si="9">SUM(C28:C35)+SUM(C37:C46)</f>
        <v>326666</v>
      </c>
      <c r="D130" s="20">
        <f t="shared" si="9"/>
        <v>494476</v>
      </c>
      <c r="E130" s="20">
        <f t="shared" si="9"/>
        <v>370057</v>
      </c>
      <c r="F130" s="20">
        <f t="shared" si="9"/>
        <v>370326</v>
      </c>
      <c r="G130" s="20">
        <f t="shared" si="9"/>
        <v>388415</v>
      </c>
      <c r="H130" s="20">
        <f t="shared" si="9"/>
        <v>663790</v>
      </c>
      <c r="I130" s="20">
        <f t="shared" si="9"/>
        <v>0</v>
      </c>
      <c r="J130" s="20">
        <f t="shared" si="9"/>
        <v>0</v>
      </c>
      <c r="K130" s="20">
        <f t="shared" si="9"/>
        <v>0</v>
      </c>
    </row>
    <row r="131" spans="1:11" s="7" customFormat="1" outlineLevel="1" collapsed="1" x14ac:dyDescent="0.2">
      <c r="B131" s="11" t="s">
        <v>52</v>
      </c>
      <c r="C131" s="23">
        <f t="shared" ref="C131:K131" si="10">C48-C130</f>
        <v>0</v>
      </c>
      <c r="D131" s="23">
        <f t="shared" si="10"/>
        <v>0</v>
      </c>
      <c r="E131" s="23">
        <f t="shared" si="10"/>
        <v>0</v>
      </c>
      <c r="F131" s="23">
        <f t="shared" si="10"/>
        <v>0</v>
      </c>
      <c r="G131" s="23">
        <f t="shared" si="10"/>
        <v>0</v>
      </c>
      <c r="H131" s="23">
        <f t="shared" si="10"/>
        <v>0</v>
      </c>
      <c r="I131" s="23">
        <f t="shared" si="10"/>
        <v>0</v>
      </c>
      <c r="J131" s="23">
        <f t="shared" si="10"/>
        <v>0</v>
      </c>
      <c r="K131" s="23">
        <f t="shared" si="10"/>
        <v>0</v>
      </c>
    </row>
    <row r="132" spans="1:11" hidden="1" outlineLevel="2" x14ac:dyDescent="0.2">
      <c r="B132" s="9" t="s">
        <v>53</v>
      </c>
      <c r="C132" s="20">
        <f t="shared" ref="C132:K132" si="11">SUM(C49:C56)+SUM(C58:C63)</f>
        <v>63360</v>
      </c>
      <c r="D132" s="20">
        <f t="shared" si="11"/>
        <v>77196</v>
      </c>
      <c r="E132" s="20">
        <f t="shared" si="11"/>
        <v>82238</v>
      </c>
      <c r="F132" s="20">
        <f t="shared" si="11"/>
        <v>118877</v>
      </c>
      <c r="G132" s="20">
        <f t="shared" si="11"/>
        <v>123607</v>
      </c>
      <c r="H132" s="20">
        <f t="shared" si="11"/>
        <v>326583</v>
      </c>
      <c r="I132" s="20">
        <f t="shared" si="11"/>
        <v>0</v>
      </c>
      <c r="J132" s="20">
        <f t="shared" si="11"/>
        <v>0</v>
      </c>
      <c r="K132" s="20">
        <f t="shared" si="11"/>
        <v>0</v>
      </c>
    </row>
    <row r="133" spans="1:11" s="7" customFormat="1" outlineLevel="1" collapsed="1" x14ac:dyDescent="0.2">
      <c r="B133" s="11" t="s">
        <v>54</v>
      </c>
      <c r="C133" s="23">
        <f t="shared" ref="C133:K133" si="12">C65-C132</f>
        <v>0</v>
      </c>
      <c r="D133" s="23">
        <f t="shared" si="12"/>
        <v>0</v>
      </c>
      <c r="E133" s="23">
        <f t="shared" si="12"/>
        <v>0</v>
      </c>
      <c r="F133" s="23">
        <f t="shared" si="12"/>
        <v>0</v>
      </c>
      <c r="G133" s="23">
        <f t="shared" si="12"/>
        <v>0</v>
      </c>
      <c r="H133" s="23">
        <f t="shared" si="12"/>
        <v>0</v>
      </c>
      <c r="I133" s="23">
        <f t="shared" si="12"/>
        <v>0</v>
      </c>
      <c r="J133" s="23">
        <f t="shared" si="12"/>
        <v>0</v>
      </c>
      <c r="K133" s="23">
        <f t="shared" si="12"/>
        <v>0</v>
      </c>
    </row>
    <row r="134" spans="1:11" hidden="1" outlineLevel="2" x14ac:dyDescent="0.2">
      <c r="B134" s="9" t="s">
        <v>55</v>
      </c>
      <c r="C134" s="20">
        <f t="shared" ref="C134:K134" si="13">SUM(C66:C71)</f>
        <v>263306</v>
      </c>
      <c r="D134" s="20">
        <f t="shared" si="13"/>
        <v>417280</v>
      </c>
      <c r="E134" s="20">
        <f t="shared" si="13"/>
        <v>287819</v>
      </c>
      <c r="F134" s="20">
        <f t="shared" si="13"/>
        <v>251449</v>
      </c>
      <c r="G134" s="20">
        <f t="shared" si="13"/>
        <v>264808</v>
      </c>
      <c r="H134" s="20">
        <f t="shared" si="13"/>
        <v>337207</v>
      </c>
      <c r="I134" s="20">
        <f t="shared" si="13"/>
        <v>0</v>
      </c>
      <c r="J134" s="20">
        <f t="shared" si="13"/>
        <v>0</v>
      </c>
      <c r="K134" s="20">
        <f t="shared" si="13"/>
        <v>0</v>
      </c>
    </row>
    <row r="135" spans="1:11" s="7" customFormat="1" outlineLevel="1" collapsed="1" x14ac:dyDescent="0.2">
      <c r="B135" s="11" t="s">
        <v>56</v>
      </c>
      <c r="C135" s="23">
        <f t="shared" ref="C135:K135" si="14">C72-C134</f>
        <v>0</v>
      </c>
      <c r="D135" s="23">
        <f t="shared" si="14"/>
        <v>0</v>
      </c>
      <c r="E135" s="23">
        <f t="shared" si="14"/>
        <v>0</v>
      </c>
      <c r="F135" s="23">
        <f t="shared" si="14"/>
        <v>0</v>
      </c>
      <c r="G135" s="23">
        <f t="shared" si="14"/>
        <v>0</v>
      </c>
      <c r="H135" s="23">
        <f t="shared" si="14"/>
        <v>0</v>
      </c>
      <c r="I135" s="23">
        <f t="shared" si="14"/>
        <v>0</v>
      </c>
      <c r="J135" s="23">
        <f t="shared" si="14"/>
        <v>0</v>
      </c>
      <c r="K135" s="23">
        <f t="shared" si="14"/>
        <v>0</v>
      </c>
    </row>
    <row r="136" spans="1:11" s="18" customFormat="1" outlineLevel="1" x14ac:dyDescent="0.2">
      <c r="A136" s="7"/>
      <c r="B136" s="17" t="s">
        <v>66</v>
      </c>
      <c r="C136" s="22">
        <f t="shared" ref="C136:K136" si="15">C48-(C65+C72)</f>
        <v>0</v>
      </c>
      <c r="D136" s="22">
        <f t="shared" si="15"/>
        <v>0</v>
      </c>
      <c r="E136" s="22">
        <f t="shared" si="15"/>
        <v>0</v>
      </c>
      <c r="F136" s="22">
        <f t="shared" si="15"/>
        <v>0</v>
      </c>
      <c r="G136" s="22">
        <f t="shared" si="15"/>
        <v>0</v>
      </c>
      <c r="H136" s="22">
        <f t="shared" si="15"/>
        <v>0</v>
      </c>
      <c r="I136" s="22">
        <f t="shared" si="15"/>
        <v>0</v>
      </c>
      <c r="J136" s="22">
        <f t="shared" si="15"/>
        <v>0</v>
      </c>
      <c r="K136" s="22">
        <f t="shared" si="15"/>
        <v>0</v>
      </c>
    </row>
    <row r="137" spans="1:11" hidden="1" outlineLevel="2" x14ac:dyDescent="0.2">
      <c r="B137" s="9" t="s">
        <v>57</v>
      </c>
      <c r="C137" s="20">
        <f t="shared" ref="C137:K137" si="16">SUM(C76:C97)</f>
        <v>2890</v>
      </c>
      <c r="D137" s="20">
        <f t="shared" si="16"/>
        <v>-74710</v>
      </c>
      <c r="E137" s="20">
        <f t="shared" si="16"/>
        <v>-90123</v>
      </c>
      <c r="F137" s="20">
        <f t="shared" si="16"/>
        <v>-32378</v>
      </c>
      <c r="G137" s="20">
        <f t="shared" si="16"/>
        <v>32381</v>
      </c>
      <c r="H137" s="20">
        <f t="shared" si="16"/>
        <v>78814</v>
      </c>
      <c r="I137" s="20">
        <f t="shared" si="16"/>
        <v>0</v>
      </c>
      <c r="J137" s="20">
        <f t="shared" si="16"/>
        <v>0</v>
      </c>
      <c r="K137" s="20">
        <f t="shared" si="16"/>
        <v>0</v>
      </c>
    </row>
    <row r="138" spans="1:11" s="7" customFormat="1" outlineLevel="1" collapsed="1" x14ac:dyDescent="0.2">
      <c r="B138" s="11" t="s">
        <v>58</v>
      </c>
      <c r="C138" s="23">
        <f t="shared" ref="C138:K138" si="17">C98-C137</f>
        <v>0</v>
      </c>
      <c r="D138" s="23">
        <f t="shared" si="17"/>
        <v>0</v>
      </c>
      <c r="E138" s="23">
        <f t="shared" si="17"/>
        <v>0</v>
      </c>
      <c r="F138" s="23">
        <f t="shared" si="17"/>
        <v>0</v>
      </c>
      <c r="G138" s="23">
        <f t="shared" si="17"/>
        <v>0</v>
      </c>
      <c r="H138" s="23">
        <f t="shared" si="17"/>
        <v>0</v>
      </c>
      <c r="I138" s="23">
        <f t="shared" si="17"/>
        <v>0</v>
      </c>
      <c r="J138" s="23">
        <f t="shared" si="17"/>
        <v>0</v>
      </c>
      <c r="K138" s="23">
        <f t="shared" si="17"/>
        <v>0</v>
      </c>
    </row>
    <row r="139" spans="1:11" hidden="1" outlineLevel="2" x14ac:dyDescent="0.2">
      <c r="B139" s="9" t="s">
        <v>59</v>
      </c>
      <c r="C139" s="20">
        <f>SUM(C99:C101)</f>
        <v>-25085</v>
      </c>
      <c r="D139" s="20">
        <f>SUM(D99:D101)</f>
        <v>-65228</v>
      </c>
      <c r="E139" s="20">
        <f>SUM(E99:E101)</f>
        <v>-26203</v>
      </c>
      <c r="F139" s="20">
        <f>SUM(F99:F101)</f>
        <v>-39670</v>
      </c>
      <c r="G139" s="20">
        <f>SUM(G99:G101)</f>
        <v>-24089</v>
      </c>
      <c r="H139" s="20">
        <f>SUM(H99:H102)</f>
        <v>-161879</v>
      </c>
      <c r="I139" s="20">
        <f>SUM(I99:I101)</f>
        <v>0</v>
      </c>
      <c r="J139" s="20">
        <f>SUM(J99:J101)</f>
        <v>0</v>
      </c>
      <c r="K139" s="20">
        <f>SUM(K99:K101)</f>
        <v>0</v>
      </c>
    </row>
    <row r="140" spans="1:11" s="7" customFormat="1" outlineLevel="1" collapsed="1" x14ac:dyDescent="0.2">
      <c r="B140" s="11" t="s">
        <v>60</v>
      </c>
      <c r="C140" s="23">
        <f t="shared" ref="C140:K140" si="18">C103-C139</f>
        <v>0</v>
      </c>
      <c r="D140" s="23">
        <f t="shared" si="18"/>
        <v>0</v>
      </c>
      <c r="E140" s="23">
        <f t="shared" si="18"/>
        <v>0</v>
      </c>
      <c r="F140" s="23">
        <f t="shared" si="18"/>
        <v>0</v>
      </c>
      <c r="G140" s="23">
        <f t="shared" si="18"/>
        <v>0</v>
      </c>
      <c r="H140" s="23">
        <f t="shared" si="18"/>
        <v>0</v>
      </c>
      <c r="I140" s="23">
        <f t="shared" si="18"/>
        <v>0</v>
      </c>
      <c r="J140" s="23">
        <f t="shared" si="18"/>
        <v>0</v>
      </c>
      <c r="K140" s="23">
        <f t="shared" si="18"/>
        <v>0</v>
      </c>
    </row>
    <row r="141" spans="1:11" hidden="1" outlineLevel="2" x14ac:dyDescent="0.2">
      <c r="B141" s="9" t="s">
        <v>61</v>
      </c>
      <c r="C141" s="20">
        <f t="shared" ref="C141:G141" si="19">SUM(C104:C120)</f>
        <v>150661</v>
      </c>
      <c r="D141" s="20">
        <f t="shared" si="19"/>
        <v>234969</v>
      </c>
      <c r="E141" s="20">
        <f t="shared" si="19"/>
        <v>-20803</v>
      </c>
      <c r="F141" s="20">
        <f t="shared" si="19"/>
        <v>-17115</v>
      </c>
      <c r="G141" s="20">
        <f t="shared" si="19"/>
        <v>-11486</v>
      </c>
      <c r="H141" s="20">
        <f>SUM(H104:H120)</f>
        <v>72851</v>
      </c>
      <c r="I141" s="20">
        <f t="shared" ref="I141:K141" si="20">SUM(I104:I120)</f>
        <v>0</v>
      </c>
      <c r="J141" s="20">
        <f t="shared" si="20"/>
        <v>0</v>
      </c>
      <c r="K141" s="20">
        <f t="shared" si="20"/>
        <v>0</v>
      </c>
    </row>
    <row r="142" spans="1:11" s="7" customFormat="1" outlineLevel="1" collapsed="1" x14ac:dyDescent="0.2">
      <c r="B142" s="11" t="s">
        <v>62</v>
      </c>
      <c r="C142" s="23">
        <f t="shared" ref="C142:K142" si="21">C121-C141</f>
        <v>0</v>
      </c>
      <c r="D142" s="23">
        <f t="shared" si="21"/>
        <v>0</v>
      </c>
      <c r="E142" s="23">
        <f t="shared" si="21"/>
        <v>0</v>
      </c>
      <c r="F142" s="23">
        <f t="shared" si="21"/>
        <v>0</v>
      </c>
      <c r="G142" s="23">
        <f t="shared" si="21"/>
        <v>0</v>
      </c>
      <c r="H142" s="23">
        <f t="shared" si="21"/>
        <v>0</v>
      </c>
      <c r="I142" s="23">
        <f t="shared" si="21"/>
        <v>0</v>
      </c>
      <c r="J142" s="23">
        <f t="shared" si="21"/>
        <v>0</v>
      </c>
      <c r="K142" s="23">
        <f t="shared" si="21"/>
        <v>0</v>
      </c>
    </row>
    <row r="143" spans="1:11" hidden="1" outlineLevel="2" x14ac:dyDescent="0.2">
      <c r="B143" s="9" t="s">
        <v>64</v>
      </c>
      <c r="C143" s="20">
        <f t="shared" ref="C143:H143" si="22">C98+C103+C121+C124+C122</f>
        <v>218781</v>
      </c>
      <c r="D143" s="20">
        <f t="shared" si="22"/>
        <v>313812</v>
      </c>
      <c r="E143" s="20">
        <f t="shared" si="22"/>
        <v>176683</v>
      </c>
      <c r="F143" s="20">
        <f t="shared" si="22"/>
        <v>87520</v>
      </c>
      <c r="G143" s="20">
        <f t="shared" si="22"/>
        <v>84220</v>
      </c>
      <c r="H143" s="20">
        <f t="shared" si="22"/>
        <v>73830</v>
      </c>
      <c r="I143" s="20">
        <f t="shared" ref="I143:K143" si="23">I98+I103+I121+I124+I122</f>
        <v>0</v>
      </c>
      <c r="J143" s="20">
        <f t="shared" si="23"/>
        <v>0</v>
      </c>
      <c r="K143" s="20">
        <f t="shared" si="23"/>
        <v>0</v>
      </c>
    </row>
    <row r="144" spans="1:11" s="18" customFormat="1" outlineLevel="1" collapsed="1" x14ac:dyDescent="0.2">
      <c r="A144" s="7"/>
      <c r="B144" s="17" t="s">
        <v>63</v>
      </c>
      <c r="C144" s="22">
        <f t="shared" ref="C144:K144" si="24">C125-C143</f>
        <v>0</v>
      </c>
      <c r="D144" s="22">
        <f t="shared" si="24"/>
        <v>0</v>
      </c>
      <c r="E144" s="22">
        <f t="shared" si="24"/>
        <v>0</v>
      </c>
      <c r="F144" s="22">
        <f t="shared" si="24"/>
        <v>0</v>
      </c>
      <c r="G144" s="22">
        <f t="shared" si="24"/>
        <v>0</v>
      </c>
      <c r="H144" s="22">
        <f t="shared" si="24"/>
        <v>0</v>
      </c>
      <c r="I144" s="22">
        <f t="shared" si="24"/>
        <v>0</v>
      </c>
      <c r="J144" s="22">
        <f t="shared" si="24"/>
        <v>0</v>
      </c>
      <c r="K144" s="22">
        <f t="shared" si="24"/>
        <v>0</v>
      </c>
    </row>
    <row r="145" spans="1:11" x14ac:dyDescent="0.2">
      <c r="B145" s="8"/>
      <c r="E145" s="8"/>
      <c r="F145" s="8"/>
      <c r="G145" s="8"/>
      <c r="H145" s="8"/>
      <c r="I145" s="8"/>
      <c r="J145" s="8"/>
      <c r="K145" s="8"/>
    </row>
    <row r="146" spans="1:11" s="14" customFormat="1" ht="17" thickBot="1" x14ac:dyDescent="0.25">
      <c r="A146" s="4"/>
      <c r="B146" s="15" t="s">
        <v>65</v>
      </c>
    </row>
    <row r="147" spans="1:11" outlineLevel="1" x14ac:dyDescent="0.2">
      <c r="B147" s="9" t="s">
        <v>4</v>
      </c>
      <c r="C147" s="29">
        <v>44900</v>
      </c>
      <c r="D147" s="29">
        <v>51946</v>
      </c>
      <c r="E147" s="27">
        <v>53355</v>
      </c>
      <c r="F147" s="27">
        <v>56387</v>
      </c>
      <c r="G147" s="27">
        <v>58772</v>
      </c>
      <c r="H147" s="27">
        <v>60763</v>
      </c>
      <c r="I147" s="27"/>
      <c r="J147" s="27"/>
      <c r="K147" s="27"/>
    </row>
    <row r="148" spans="1:11" outlineLevel="1" x14ac:dyDescent="0.2">
      <c r="B148" s="12" t="s">
        <v>71</v>
      </c>
      <c r="C148" s="30">
        <v>0</v>
      </c>
      <c r="D148" s="30">
        <v>0</v>
      </c>
      <c r="E148" s="28">
        <v>0</v>
      </c>
      <c r="F148" s="28">
        <v>0</v>
      </c>
      <c r="G148" s="28">
        <v>0</v>
      </c>
      <c r="H148" s="28">
        <v>0</v>
      </c>
      <c r="I148" s="28"/>
      <c r="J148" s="28"/>
      <c r="K148" s="28"/>
    </row>
    <row r="149" spans="1:11" outlineLevel="1" x14ac:dyDescent="0.2">
      <c r="B149" s="9" t="s">
        <v>85</v>
      </c>
      <c r="C149" s="34">
        <f t="shared" ref="C149:H149" si="25">C11</f>
        <v>9770</v>
      </c>
      <c r="D149" s="34">
        <f t="shared" si="25"/>
        <v>14985</v>
      </c>
      <c r="E149" s="34">
        <f t="shared" si="25"/>
        <v>17988</v>
      </c>
      <c r="F149" s="34">
        <f t="shared" si="25"/>
        <v>17584</v>
      </c>
      <c r="G149" s="34">
        <f t="shared" si="25"/>
        <v>14183</v>
      </c>
      <c r="H149" s="34">
        <f t="shared" si="25"/>
        <v>12972</v>
      </c>
      <c r="I149" s="27"/>
      <c r="J149" s="27"/>
      <c r="K149" s="27"/>
    </row>
    <row r="150" spans="1:11" outlineLevel="1" x14ac:dyDescent="0.2">
      <c r="B150" s="9" t="s">
        <v>86</v>
      </c>
      <c r="C150" s="34">
        <f t="shared" ref="C150:H150" si="26">C12</f>
        <v>6138</v>
      </c>
      <c r="D150" s="34">
        <f t="shared" si="26"/>
        <v>6317</v>
      </c>
      <c r="E150" s="34">
        <f t="shared" si="26"/>
        <v>7316</v>
      </c>
      <c r="F150" s="34">
        <f t="shared" si="26"/>
        <v>11903</v>
      </c>
      <c r="G150" s="34">
        <f t="shared" si="26"/>
        <v>13703</v>
      </c>
      <c r="H150" s="34">
        <f t="shared" si="26"/>
        <v>18481</v>
      </c>
      <c r="I150" s="27"/>
      <c r="J150" s="27"/>
      <c r="K150" s="27"/>
    </row>
    <row r="151" spans="1:11" outlineLevel="1" x14ac:dyDescent="0.2">
      <c r="B151" s="9" t="s">
        <v>92</v>
      </c>
      <c r="C151" s="97">
        <f t="shared" ref="C151:H151" si="27">(1*C20)/C19</f>
        <v>1.7986271702822743E-3</v>
      </c>
      <c r="D151" s="97">
        <f t="shared" si="27"/>
        <v>1.5426474203036134E-3</v>
      </c>
      <c r="E151" s="97">
        <f t="shared" si="27"/>
        <v>2.7495830083739889E-3</v>
      </c>
      <c r="F151" s="97">
        <f t="shared" si="27"/>
        <v>1.1400747735366701E-2</v>
      </c>
      <c r="G151" s="97">
        <f t="shared" si="27"/>
        <v>4.8664241816129439E-2</v>
      </c>
      <c r="H151" s="97">
        <f t="shared" si="27"/>
        <v>-1.2579418344519016</v>
      </c>
      <c r="I151" s="97"/>
      <c r="J151" s="97"/>
      <c r="K151" s="97"/>
    </row>
    <row r="152" spans="1:11" outlineLevel="1" x14ac:dyDescent="0.2">
      <c r="B152" s="9" t="s">
        <v>93</v>
      </c>
      <c r="C152" s="27">
        <v>827</v>
      </c>
      <c r="D152" s="27">
        <v>1701</v>
      </c>
      <c r="E152" s="27">
        <v>1546</v>
      </c>
      <c r="F152" s="27">
        <v>1438</v>
      </c>
      <c r="G152" s="27">
        <v>2082</v>
      </c>
      <c r="H152" s="27">
        <v>1789</v>
      </c>
      <c r="I152" s="27"/>
      <c r="J152" s="27"/>
      <c r="K152" s="27"/>
    </row>
    <row r="153" spans="1:11" outlineLevel="1" x14ac:dyDescent="0.2">
      <c r="B153" s="9" t="s">
        <v>387</v>
      </c>
      <c r="C153" s="29">
        <v>2023</v>
      </c>
      <c r="D153" s="29">
        <v>1319</v>
      </c>
      <c r="E153" s="29">
        <v>1897</v>
      </c>
      <c r="F153" s="29">
        <v>787</v>
      </c>
      <c r="G153" s="29">
        <v>983</v>
      </c>
      <c r="H153" s="29">
        <v>954</v>
      </c>
      <c r="I153" s="27"/>
      <c r="J153" s="27"/>
      <c r="K153" s="27"/>
    </row>
    <row r="154" spans="1:11" outlineLevel="1" x14ac:dyDescent="0.2"/>
    <row r="155" spans="1:11" x14ac:dyDescent="0.2">
      <c r="B155" s="1"/>
    </row>
    <row r="156" spans="1:11" s="14" customFormat="1" ht="17" thickBot="1" x14ac:dyDescent="0.25">
      <c r="A156" s="4"/>
      <c r="B156" s="15" t="s">
        <v>87</v>
      </c>
      <c r="C156" s="98"/>
    </row>
    <row r="157" spans="1:11" s="18" customFormat="1" outlineLevel="1" x14ac:dyDescent="0.2">
      <c r="A157" s="7"/>
      <c r="B157" s="17" t="s">
        <v>6</v>
      </c>
      <c r="C157" s="99"/>
      <c r="D157" s="78">
        <f t="shared" ref="D157:H161" si="28">IF(C5=0,
IF(D5=0,0,IF(D5&gt;0,1,-1)),
(D5-C5)/ABS(C5)
)</f>
        <v>0.43420300382708826</v>
      </c>
      <c r="E157" s="78">
        <f t="shared" si="28"/>
        <v>0.31738520773051077</v>
      </c>
      <c r="F157" s="78">
        <f t="shared" si="28"/>
        <v>0.26837421238118969</v>
      </c>
      <c r="G157" s="78">
        <f t="shared" si="28"/>
        <v>0.17826039365813545</v>
      </c>
      <c r="H157" s="78">
        <f t="shared" si="28"/>
        <v>0.14477398270182201</v>
      </c>
      <c r="I157" s="78"/>
      <c r="J157" s="78"/>
      <c r="K157" s="78"/>
    </row>
    <row r="158" spans="1:11" outlineLevel="1" x14ac:dyDescent="0.2">
      <c r="B158" s="9" t="s">
        <v>7</v>
      </c>
      <c r="C158" s="100"/>
      <c r="D158" s="77">
        <f t="shared" si="28"/>
        <v>0.55362119650288244</v>
      </c>
      <c r="E158" s="77">
        <f t="shared" si="28"/>
        <v>0.34254435543323342</v>
      </c>
      <c r="F158" s="77">
        <f t="shared" si="28"/>
        <v>0.13493552490687949</v>
      </c>
      <c r="G158" s="77">
        <f t="shared" si="28"/>
        <v>8.8080896049543986E-2</v>
      </c>
      <c r="H158" s="77">
        <f t="shared" si="28"/>
        <v>0.14221026575955653</v>
      </c>
      <c r="I158" s="77"/>
      <c r="J158" s="77"/>
      <c r="K158" s="77"/>
    </row>
    <row r="159" spans="1:11" s="18" customFormat="1" outlineLevel="1" x14ac:dyDescent="0.2">
      <c r="A159" s="7"/>
      <c r="B159" s="17" t="s">
        <v>8</v>
      </c>
      <c r="C159" s="99"/>
      <c r="D159" s="78">
        <f t="shared" si="28"/>
        <v>0.3692349233053972</v>
      </c>
      <c r="E159" s="78">
        <f t="shared" si="28"/>
        <v>0.30185445030149038</v>
      </c>
      <c r="F159" s="78">
        <f t="shared" si="28"/>
        <v>0.35332055487261349</v>
      </c>
      <c r="G159" s="78">
        <f t="shared" si="28"/>
        <v>0.22640429122468658</v>
      </c>
      <c r="H159" s="78">
        <f t="shared" si="28"/>
        <v>0.14598829678565287</v>
      </c>
      <c r="I159" s="78"/>
      <c r="J159" s="78"/>
      <c r="K159" s="78"/>
    </row>
    <row r="160" spans="1:11" outlineLevel="1" x14ac:dyDescent="0.2">
      <c r="B160" s="9" t="s">
        <v>9</v>
      </c>
      <c r="C160" s="100"/>
      <c r="D160" s="77">
        <f t="shared" si="28"/>
        <v>1.476519594154333</v>
      </c>
      <c r="E160" s="77">
        <f t="shared" si="28"/>
        <v>0.4213642044333355</v>
      </c>
      <c r="F160" s="77">
        <f t="shared" si="28"/>
        <v>-2.8129813635852787E-2</v>
      </c>
      <c r="G160" s="77">
        <f t="shared" si="28"/>
        <v>-0.17603803874619067</v>
      </c>
      <c r="H160" s="77">
        <f t="shared" si="28"/>
        <v>-0.17242774232429889</v>
      </c>
      <c r="I160" s="77"/>
      <c r="J160" s="77"/>
      <c r="K160" s="77"/>
    </row>
    <row r="161" spans="1:11" outlineLevel="1" x14ac:dyDescent="0.2">
      <c r="B161" s="12" t="s">
        <v>10</v>
      </c>
      <c r="C161" s="100"/>
      <c r="D161" s="77">
        <f t="shared" si="28"/>
        <v>1.3103615949076119</v>
      </c>
      <c r="E161" s="77">
        <f t="shared" si="28"/>
        <v>0.74579546541662678</v>
      </c>
      <c r="F161" s="77">
        <f t="shared" si="28"/>
        <v>0.23127000131515496</v>
      </c>
      <c r="G161" s="77">
        <f t="shared" si="28"/>
        <v>4.4665586669752372E-2</v>
      </c>
      <c r="H161" s="77">
        <f t="shared" si="28"/>
        <v>3.5078899832998195E-2</v>
      </c>
      <c r="I161" s="77"/>
      <c r="J161" s="77"/>
      <c r="K161" s="77"/>
    </row>
    <row r="162" spans="1:11" outlineLevel="1" x14ac:dyDescent="0.2">
      <c r="B162" s="12" t="s">
        <v>11</v>
      </c>
      <c r="C162" s="100"/>
      <c r="D162" s="77">
        <f t="shared" ref="D162:H163" si="29">IF(C13=0,
IF(D13=0,0,IF(D13&gt;0,1,-1)),
(D13-C13)/ABS(C13)
)</f>
        <v>1.0388481658221413</v>
      </c>
      <c r="E162" s="77">
        <f t="shared" si="29"/>
        <v>0.40027426788170289</v>
      </c>
      <c r="F162" s="77">
        <f t="shared" si="29"/>
        <v>5.9081836327345309E-2</v>
      </c>
      <c r="G162" s="77">
        <f t="shared" si="29"/>
        <v>-6.9938470633218272E-2</v>
      </c>
      <c r="H162" s="77">
        <f t="shared" si="29"/>
        <v>-2.885333084530696E-2</v>
      </c>
      <c r="I162" s="77"/>
      <c r="J162" s="77"/>
      <c r="K162" s="77"/>
    </row>
    <row r="163" spans="1:11" s="18" customFormat="1" outlineLevel="1" x14ac:dyDescent="0.2">
      <c r="A163" s="7"/>
      <c r="B163" s="17" t="s">
        <v>12</v>
      </c>
      <c r="C163" s="99"/>
      <c r="D163" s="78">
        <f t="shared" si="29"/>
        <v>-3.5505434147481596</v>
      </c>
      <c r="E163" s="78">
        <f t="shared" si="29"/>
        <v>-0.51135536779749524</v>
      </c>
      <c r="F163" s="78">
        <f t="shared" si="29"/>
        <v>0.22697562191309076</v>
      </c>
      <c r="G163" s="78">
        <f t="shared" si="29"/>
        <v>0.57431546245209886</v>
      </c>
      <c r="H163" s="78">
        <f t="shared" si="29"/>
        <v>0.8861903368504398</v>
      </c>
      <c r="I163" s="78"/>
      <c r="J163" s="78"/>
      <c r="K163" s="78"/>
    </row>
    <row r="164" spans="1:11" s="79" customFormat="1" outlineLevel="1" x14ac:dyDescent="0.2">
      <c r="A164" s="7"/>
      <c r="B164" s="80" t="s">
        <v>13</v>
      </c>
      <c r="C164" s="99"/>
      <c r="D164" s="81">
        <f>IF(C19=0,
IF(D19=0,0,IF(D19&gt;0,1,-1)),
(D19-C19)/ABS(C19)
)</f>
        <v>-3.3306170392394376</v>
      </c>
      <c r="E164" s="81">
        <f>IF(D19=0,
IF(E19=0,0,IF(E19&gt;0,1,-1)),
(E19-D19)/ABS(D19)
)</f>
        <v>-0.488934471388976</v>
      </c>
      <c r="F164" s="81">
        <f>IF(E19=0,
IF(F19=0,0,IF(F19&gt;0,1,-1)),
(F19-E19)/ABS(E19)
)</f>
        <v>0.22953610037401159</v>
      </c>
      <c r="G164" s="81">
        <f>IF(F19=0,
IF(G19=0,0,IF(G19&gt;0,1,-1)),
(G19-F19)/ABS(F19)
)</f>
        <v>0.58762985621610442</v>
      </c>
      <c r="H164" s="81">
        <f>IF(G19=0,
IF(H19=0,0,IF(H19&gt;0,1,-1)),
(H19-G19)/ABS(G19)
)</f>
        <v>0.83981652362437509</v>
      </c>
      <c r="I164" s="81"/>
      <c r="J164" s="81"/>
      <c r="K164" s="81"/>
    </row>
    <row r="165" spans="1:11" s="79" customFormat="1" outlineLevel="1" x14ac:dyDescent="0.2">
      <c r="A165" s="7"/>
      <c r="B165" s="80" t="s">
        <v>14</v>
      </c>
      <c r="C165" s="99"/>
      <c r="D165" s="81">
        <f>IF(C21=0,
IF(D21=0,0,IF(D21&gt;0,1,-1)),
(D21-C21)/ABS(C21)
)</f>
        <v>-3.3295104792613222</v>
      </c>
      <c r="E165" s="81">
        <f>IF(D21=0,
IF(E21=0,0,IF(E21&gt;0,1,-1)),
(E21-D21)/ABS(D21)
)</f>
        <v>-0.49072875144929379</v>
      </c>
      <c r="F165" s="81">
        <f>IF(E21=0,
IF(F21=0,0,IF(F21&gt;0,1,-1)),
(F21-E21)/ABS(E21)
)</f>
        <v>0.22288896710683184</v>
      </c>
      <c r="G165" s="81">
        <f>IF(F21=0,
IF(G21=0,0,IF(G21&gt;0,1,-1)),
(G21-F21)/ABS(F21)
)</f>
        <v>0.57243671695218612</v>
      </c>
      <c r="H165" s="81">
        <f>IF(G21=0,
IF(H21=0,0,IF(H21&gt;0,1,-1)),
(H21-G21)/ABS(G21)
)</f>
        <v>1.039400618517949</v>
      </c>
      <c r="I165" s="81"/>
      <c r="J165" s="81"/>
      <c r="K165" s="81"/>
    </row>
    <row r="166" spans="1:11" x14ac:dyDescent="0.2">
      <c r="B166" s="1"/>
    </row>
    <row r="167" spans="1:11" s="14" customFormat="1" ht="17" thickBot="1" x14ac:dyDescent="0.25">
      <c r="A167" s="4"/>
      <c r="B167" s="15" t="s">
        <v>88</v>
      </c>
    </row>
    <row r="168" spans="1:11" outlineLevel="1" x14ac:dyDescent="0.2">
      <c r="B168" s="9" t="s">
        <v>89</v>
      </c>
      <c r="C168" s="77">
        <f t="shared" ref="C168:H168" si="30">C7/C5</f>
        <v>0.64765229322625562</v>
      </c>
      <c r="D168" s="77">
        <f t="shared" si="30"/>
        <v>0.61831423841525468</v>
      </c>
      <c r="E168" s="77">
        <f t="shared" si="30"/>
        <v>0.6110248834146168</v>
      </c>
      <c r="F168" s="77">
        <f t="shared" si="30"/>
        <v>0.65194681994616877</v>
      </c>
      <c r="G168" s="77">
        <f t="shared" si="30"/>
        <v>0.67858546543341913</v>
      </c>
      <c r="H168" s="77">
        <f t="shared" si="30"/>
        <v>0.67930527205045454</v>
      </c>
      <c r="I168" s="77"/>
      <c r="J168" s="77"/>
      <c r="K168" s="77"/>
    </row>
    <row r="169" spans="1:11" outlineLevel="1" x14ac:dyDescent="0.2">
      <c r="B169" s="9" t="s">
        <v>90</v>
      </c>
      <c r="C169" s="77">
        <f t="shared" ref="C169:H169" si="31">C14/C5</f>
        <v>-0.17266288666034424</v>
      </c>
      <c r="D169" s="77">
        <f t="shared" si="31"/>
        <v>-0.547837342250027</v>
      </c>
      <c r="E169" s="77">
        <f t="shared" si="31"/>
        <v>-0.62850023139083688</v>
      </c>
      <c r="F169" s="77">
        <f t="shared" si="31"/>
        <v>-0.38304626170716166</v>
      </c>
      <c r="G169" s="77">
        <f t="shared" si="31"/>
        <v>-0.13838780599933781</v>
      </c>
      <c r="H169" s="77">
        <f t="shared" si="31"/>
        <v>-1.3758060388147093E-2</v>
      </c>
      <c r="I169" s="77"/>
      <c r="J169" s="77"/>
      <c r="K169" s="77"/>
    </row>
    <row r="170" spans="1:11" s="84" customFormat="1" outlineLevel="1" x14ac:dyDescent="0.2">
      <c r="A170" s="1"/>
      <c r="B170" s="82" t="s">
        <v>91</v>
      </c>
      <c r="C170" s="83">
        <f t="shared" ref="C170:H170" si="32">C21/C5</f>
        <v>-0.18356571628429413</v>
      </c>
      <c r="D170" s="83">
        <f t="shared" si="32"/>
        <v>-0.55414030661295388</v>
      </c>
      <c r="E170" s="83">
        <f t="shared" si="32"/>
        <v>-0.62705492862482648</v>
      </c>
      <c r="F170" s="83">
        <f t="shared" si="32"/>
        <v>-0.384185754099787</v>
      </c>
      <c r="G170" s="83">
        <f t="shared" si="32"/>
        <v>-0.13941207156519689</v>
      </c>
      <c r="H170" s="83">
        <f t="shared" si="32"/>
        <v>4.7982588105062313E-3</v>
      </c>
      <c r="I170" s="83"/>
      <c r="J170" s="83"/>
      <c r="K170" s="83"/>
    </row>
    <row r="171" spans="1:11" x14ac:dyDescent="0.2">
      <c r="B171" s="1"/>
    </row>
    <row r="172" spans="1:11" s="14" customFormat="1" ht="17" thickBot="1" x14ac:dyDescent="0.25">
      <c r="A172" s="4"/>
      <c r="B172" s="15" t="s">
        <v>108</v>
      </c>
    </row>
    <row r="173" spans="1:11" x14ac:dyDescent="0.2">
      <c r="B173" s="9" t="s">
        <v>181</v>
      </c>
      <c r="C173" s="27">
        <v>1711</v>
      </c>
      <c r="D173" s="27">
        <v>2074</v>
      </c>
      <c r="E173" s="27">
        <v>2856</v>
      </c>
      <c r="F173" s="27">
        <v>3601</v>
      </c>
      <c r="G173" s="27">
        <v>4203</v>
      </c>
      <c r="H173" s="27">
        <v>4514</v>
      </c>
    </row>
    <row r="174" spans="1:11" x14ac:dyDescent="0.2">
      <c r="B174" s="9" t="s">
        <v>185</v>
      </c>
      <c r="C174" s="115">
        <f t="shared" ref="C174:H174" si="33">C182/C173</f>
        <v>40.351841028638226</v>
      </c>
      <c r="D174" s="115">
        <f t="shared" si="33"/>
        <v>46.053037608486015</v>
      </c>
      <c r="E174" s="115">
        <f t="shared" si="33"/>
        <v>45.159313725490193</v>
      </c>
      <c r="F174" s="115">
        <f t="shared" si="33"/>
        <v>45.94168286587059</v>
      </c>
      <c r="G174" s="115">
        <f t="shared" si="33"/>
        <v>46.754699024506309</v>
      </c>
      <c r="H174" s="115">
        <f t="shared" si="33"/>
        <v>48.61785556047851</v>
      </c>
    </row>
    <row r="175" spans="1:11" x14ac:dyDescent="0.2">
      <c r="B175" s="9" t="s">
        <v>182</v>
      </c>
      <c r="C175" s="27">
        <v>1997000</v>
      </c>
      <c r="D175" s="27">
        <v>2768000</v>
      </c>
      <c r="E175" s="27">
        <v>3284000</v>
      </c>
      <c r="F175" s="27">
        <v>3947000</v>
      </c>
      <c r="G175" s="27">
        <v>4420000</v>
      </c>
      <c r="H175" s="27">
        <v>4873000</v>
      </c>
      <c r="I175" s="27"/>
    </row>
    <row r="176" spans="1:11" x14ac:dyDescent="0.2">
      <c r="B176" s="9" t="s">
        <v>180</v>
      </c>
      <c r="C176" s="101">
        <v>0.81</v>
      </c>
      <c r="D176" s="101">
        <v>0.79</v>
      </c>
      <c r="E176" s="101">
        <v>0.8</v>
      </c>
      <c r="F176" s="101">
        <v>0.82</v>
      </c>
      <c r="G176" s="101">
        <v>0.81</v>
      </c>
      <c r="H176" s="101">
        <v>0.83</v>
      </c>
      <c r="I176" s="27"/>
    </row>
    <row r="177" spans="1:9" x14ac:dyDescent="0.2">
      <c r="B177" s="9" t="s">
        <v>183</v>
      </c>
      <c r="C177" s="102">
        <v>3.0800000000000001E-2</v>
      </c>
      <c r="D177" s="102">
        <v>2.98E-2</v>
      </c>
      <c r="E177" s="102">
        <v>2.98E-2</v>
      </c>
      <c r="F177" s="102">
        <v>2.92E-2</v>
      </c>
      <c r="G177" s="102">
        <v>2.8299999999999999E-2</v>
      </c>
      <c r="H177" s="138">
        <f>H183/(H175*H176)</f>
        <v>3.0029990678906885E-2</v>
      </c>
      <c r="I177" s="27"/>
    </row>
    <row r="178" spans="1:9" x14ac:dyDescent="0.2">
      <c r="B178" s="9" t="s">
        <v>186</v>
      </c>
      <c r="C178" s="27"/>
      <c r="D178" s="27"/>
      <c r="E178" s="27">
        <v>120000</v>
      </c>
      <c r="F178" s="27">
        <v>150000</v>
      </c>
      <c r="G178" s="27">
        <v>170000</v>
      </c>
      <c r="H178" s="27">
        <v>180000</v>
      </c>
      <c r="I178" s="27"/>
    </row>
    <row r="179" spans="1:9" x14ac:dyDescent="0.2">
      <c r="C179" s="34"/>
      <c r="D179" s="34"/>
      <c r="E179" s="34"/>
      <c r="F179" s="34"/>
      <c r="G179" s="27"/>
      <c r="H179" s="27"/>
      <c r="I179" s="27"/>
    </row>
    <row r="180" spans="1:9" x14ac:dyDescent="0.2">
      <c r="B180" s="1"/>
    </row>
    <row r="181" spans="1:9" s="14" customFormat="1" ht="17" thickBot="1" x14ac:dyDescent="0.25">
      <c r="A181" s="4"/>
      <c r="B181" s="15" t="s">
        <v>107</v>
      </c>
    </row>
    <row r="182" spans="1:9" x14ac:dyDescent="0.2">
      <c r="B182" s="9" t="s">
        <v>158</v>
      </c>
      <c r="C182" s="27">
        <v>69042</v>
      </c>
      <c r="D182" s="27">
        <v>95514</v>
      </c>
      <c r="E182" s="27">
        <v>128975</v>
      </c>
      <c r="F182" s="27">
        <v>165436</v>
      </c>
      <c r="G182" s="27">
        <v>196510</v>
      </c>
      <c r="H182" s="27">
        <v>219461</v>
      </c>
    </row>
    <row r="183" spans="1:9" x14ac:dyDescent="0.2">
      <c r="B183" s="9" t="s">
        <v>251</v>
      </c>
      <c r="C183" s="27">
        <v>49900</v>
      </c>
      <c r="D183" s="27">
        <v>65201</v>
      </c>
      <c r="E183" s="27">
        <v>78368</v>
      </c>
      <c r="F183" s="27">
        <v>94610</v>
      </c>
      <c r="G183" s="27">
        <v>101740</v>
      </c>
      <c r="H183" s="27">
        <v>121459</v>
      </c>
    </row>
    <row r="184" spans="1:9" x14ac:dyDescent="0.2">
      <c r="B184" s="9" t="s">
        <v>159</v>
      </c>
      <c r="C184" s="27">
        <v>29735</v>
      </c>
      <c r="D184" s="27">
        <v>52518</v>
      </c>
      <c r="E184" s="27">
        <v>73567</v>
      </c>
      <c r="F184" s="27">
        <v>96253</v>
      </c>
      <c r="G184" s="27">
        <v>121563</v>
      </c>
      <c r="H184" s="27">
        <v>139671</v>
      </c>
    </row>
    <row r="185" spans="1:9" x14ac:dyDescent="0.2">
      <c r="C185" s="34"/>
      <c r="D185" s="34"/>
      <c r="E185" s="34"/>
      <c r="F185" s="34"/>
      <c r="G185" s="27"/>
      <c r="H185" s="27"/>
    </row>
    <row r="186" spans="1:9" x14ac:dyDescent="0.2">
      <c r="B186" s="1"/>
    </row>
    <row r="187" spans="1:9" s="14" customFormat="1" ht="17" thickBot="1" x14ac:dyDescent="0.25">
      <c r="A187" s="4"/>
      <c r="B187" s="15" t="s">
        <v>109</v>
      </c>
    </row>
    <row r="188" spans="1:9" x14ac:dyDescent="0.2">
      <c r="B188" s="9" t="s">
        <v>187</v>
      </c>
      <c r="C188" s="137"/>
      <c r="D188" s="137"/>
      <c r="E188" s="137">
        <f>E178/E173</f>
        <v>42.016806722689076</v>
      </c>
      <c r="F188" s="137">
        <f>F178/F173</f>
        <v>41.655095806720354</v>
      </c>
      <c r="G188" s="137">
        <f>G178/G173</f>
        <v>40.447299547941945</v>
      </c>
      <c r="H188" s="137">
        <f>H178/H173</f>
        <v>39.875941515285774</v>
      </c>
    </row>
    <row r="189" spans="1:9" x14ac:dyDescent="0.2">
      <c r="B189" s="9" t="s">
        <v>191</v>
      </c>
      <c r="C189" s="88"/>
      <c r="D189" s="88"/>
      <c r="E189" s="105">
        <f>E184/E178</f>
        <v>0.61305833333333337</v>
      </c>
      <c r="F189" s="105">
        <f t="shared" ref="F189:H189" si="34">F184/F178</f>
        <v>0.64168666666666663</v>
      </c>
      <c r="G189" s="105">
        <f t="shared" si="34"/>
        <v>0.71507647058823531</v>
      </c>
      <c r="H189" s="105">
        <f t="shared" si="34"/>
        <v>0.77595000000000003</v>
      </c>
    </row>
    <row r="190" spans="1:9" x14ac:dyDescent="0.2">
      <c r="C190" s="88"/>
      <c r="D190" s="88"/>
      <c r="E190" s="88"/>
      <c r="F190" s="88"/>
    </row>
    <row r="191" spans="1:9" x14ac:dyDescent="0.2">
      <c r="C191" s="89"/>
      <c r="D191" s="89"/>
      <c r="E191" s="89"/>
      <c r="F191" s="89"/>
    </row>
    <row r="192" spans="1:9" x14ac:dyDescent="0.2">
      <c r="B192" s="1"/>
    </row>
    <row r="193" spans="1:15" s="14" customFormat="1" ht="17" thickBot="1" x14ac:dyDescent="0.25">
      <c r="A193" s="4"/>
      <c r="B193" s="15" t="s">
        <v>262</v>
      </c>
    </row>
    <row r="194" spans="1:15" x14ac:dyDescent="0.2">
      <c r="B194" s="9" t="s">
        <v>263</v>
      </c>
      <c r="C194" s="31">
        <v>65.290000000000006</v>
      </c>
      <c r="D194" s="31">
        <v>28.44</v>
      </c>
      <c r="E194" s="31">
        <v>36.19</v>
      </c>
      <c r="F194" s="31">
        <v>25.61</v>
      </c>
      <c r="G194" s="31">
        <v>29</v>
      </c>
      <c r="H194" s="31">
        <v>13.43</v>
      </c>
      <c r="I194" s="31"/>
      <c r="J194" s="31"/>
      <c r="K194" s="31"/>
      <c r="L194" s="31"/>
      <c r="M194" s="31"/>
      <c r="N194" s="31"/>
      <c r="O194" s="31"/>
    </row>
    <row r="196" spans="1:15" x14ac:dyDescent="0.2">
      <c r="B196" s="1"/>
    </row>
    <row r="197" spans="1:15" s="14" customFormat="1" ht="17" thickBot="1" x14ac:dyDescent="0.25">
      <c r="A197" s="4"/>
      <c r="B197" s="15" t="s">
        <v>385</v>
      </c>
    </row>
    <row r="198" spans="1:15" x14ac:dyDescent="0.2">
      <c r="B198" s="9" t="s">
        <v>319</v>
      </c>
      <c r="C198" s="197">
        <f>C50+C51+C58+C59</f>
        <v>14321</v>
      </c>
      <c r="D198" s="197">
        <f t="shared" ref="D198:H198" si="35">D50+D51+D58+D59</f>
        <v>15801</v>
      </c>
      <c r="E198" s="197">
        <f t="shared" si="35"/>
        <v>9180</v>
      </c>
      <c r="F198" s="197">
        <f t="shared" si="35"/>
        <v>11983</v>
      </c>
      <c r="G198" s="197">
        <f t="shared" si="35"/>
        <v>17803</v>
      </c>
      <c r="H198" s="197">
        <f t="shared" si="35"/>
        <v>102449</v>
      </c>
      <c r="I198" s="31"/>
      <c r="J198" s="31"/>
      <c r="K198" s="31"/>
      <c r="L198" s="31"/>
      <c r="M198" s="31"/>
      <c r="N198" s="31"/>
      <c r="O198" s="31"/>
    </row>
    <row r="199" spans="1:15" x14ac:dyDescent="0.2">
      <c r="B199" s="9" t="s">
        <v>351</v>
      </c>
      <c r="C199" s="197">
        <f>C28</f>
        <v>218781</v>
      </c>
      <c r="D199" s="197">
        <f t="shared" ref="D199:H199" si="36">D28</f>
        <v>313812</v>
      </c>
      <c r="E199" s="197">
        <f t="shared" si="36"/>
        <v>176683</v>
      </c>
      <c r="F199" s="197">
        <f t="shared" si="36"/>
        <v>87520</v>
      </c>
      <c r="G199" s="197">
        <f t="shared" si="36"/>
        <v>84220</v>
      </c>
      <c r="H199" s="197">
        <f t="shared" si="36"/>
        <v>73830</v>
      </c>
    </row>
    <row r="200" spans="1:15" x14ac:dyDescent="0.2">
      <c r="B200" s="9" t="s">
        <v>386</v>
      </c>
      <c r="C200" s="197">
        <f>(C51+C59)*Overview!$C$4</f>
        <v>223.95</v>
      </c>
      <c r="D200" s="197">
        <f>(D51+D59)*Overview!$C$4</f>
        <v>191.77500000000001</v>
      </c>
      <c r="E200" s="197">
        <f>(E51+E59)*Overview!$C$4</f>
        <v>96.224999999999994</v>
      </c>
      <c r="F200" s="197">
        <f>(F51+F59)*Overview!$C$4</f>
        <v>39.524999999999999</v>
      </c>
      <c r="G200" s="197">
        <f>(G51+G59)*Overview!$C$4</f>
        <v>120.75</v>
      </c>
      <c r="H200" s="197">
        <f>(H51+H59)*Overview!$C$4</f>
        <v>177.07499999999999</v>
      </c>
    </row>
    <row r="201" spans="1:15" x14ac:dyDescent="0.2">
      <c r="B201" s="9" t="s">
        <v>392</v>
      </c>
      <c r="C201" s="197">
        <f>C153-C200</f>
        <v>1799.05</v>
      </c>
      <c r="D201" s="197">
        <f t="shared" ref="D201:H201" si="37">D153-D200</f>
        <v>1127.2249999999999</v>
      </c>
      <c r="E201" s="197">
        <f t="shared" si="37"/>
        <v>1800.7750000000001</v>
      </c>
      <c r="F201" s="197">
        <f t="shared" si="37"/>
        <v>747.47500000000002</v>
      </c>
      <c r="G201" s="197">
        <f t="shared" si="37"/>
        <v>862.25</v>
      </c>
      <c r="H201" s="197">
        <f t="shared" si="37"/>
        <v>776.92499999999995</v>
      </c>
    </row>
    <row r="202" spans="1:15" x14ac:dyDescent="0.2">
      <c r="B202" s="9" t="s">
        <v>308</v>
      </c>
      <c r="C202" s="197">
        <f>C14+C200-C201</f>
        <v>-27246.1</v>
      </c>
      <c r="D202" s="197">
        <f t="shared" ref="D202:H202" si="38">D14+D200-D201</f>
        <v>-117752.45000000001</v>
      </c>
      <c r="E202" s="197">
        <f t="shared" si="38"/>
        <v>-178256.55</v>
      </c>
      <c r="F202" s="197">
        <f t="shared" si="38"/>
        <v>-137186.95000000001</v>
      </c>
      <c r="G202" s="197">
        <f t="shared" si="38"/>
        <v>-58838.5</v>
      </c>
      <c r="H202" s="197">
        <f t="shared" si="38"/>
        <v>-7211.85</v>
      </c>
    </row>
    <row r="203" spans="1:15" x14ac:dyDescent="0.2">
      <c r="B203" s="9" t="s">
        <v>222</v>
      </c>
      <c r="C203" s="104">
        <f>C198+C72-C199</f>
        <v>58846</v>
      </c>
      <c r="D203" s="104">
        <f t="shared" ref="D203:H203" si="39">D198+D72-D199</f>
        <v>119269</v>
      </c>
      <c r="E203" s="104">
        <f t="shared" si="39"/>
        <v>120316</v>
      </c>
      <c r="F203" s="104">
        <f t="shared" si="39"/>
        <v>175912</v>
      </c>
      <c r="G203" s="104">
        <f t="shared" si="39"/>
        <v>198391</v>
      </c>
      <c r="H203" s="104">
        <f t="shared" si="39"/>
        <v>365826</v>
      </c>
    </row>
    <row r="204" spans="1:15" x14ac:dyDescent="0.2">
      <c r="B204" s="9" t="s">
        <v>219</v>
      </c>
      <c r="C204" s="104">
        <f>C202</f>
        <v>-27246.1</v>
      </c>
      <c r="D204" s="104">
        <f t="shared" ref="D204:H204" si="40">D202</f>
        <v>-117752.45000000001</v>
      </c>
      <c r="E204" s="104">
        <f t="shared" si="40"/>
        <v>-178256.55</v>
      </c>
      <c r="F204" s="104">
        <f t="shared" si="40"/>
        <v>-137186.95000000001</v>
      </c>
      <c r="G204" s="104">
        <f t="shared" si="40"/>
        <v>-58838.5</v>
      </c>
      <c r="H204" s="104">
        <f t="shared" si="40"/>
        <v>-7211.85</v>
      </c>
    </row>
    <row r="205" spans="1:15" x14ac:dyDescent="0.2">
      <c r="B205" s="9" t="s">
        <v>388</v>
      </c>
      <c r="C205" s="104">
        <f>C202+C153+C77</f>
        <v>-9315.0999999999985</v>
      </c>
      <c r="D205" s="104">
        <f t="shared" ref="D205:H205" si="41">D202+D153+D77</f>
        <v>-95131.450000000012</v>
      </c>
      <c r="E205" s="104">
        <f t="shared" si="41"/>
        <v>-151055.54999999999</v>
      </c>
      <c r="F205" s="104">
        <f t="shared" si="41"/>
        <v>-106912.95000000001</v>
      </c>
      <c r="G205" s="104">
        <f t="shared" si="41"/>
        <v>-29969.5</v>
      </c>
      <c r="H205" s="104">
        <f t="shared" si="41"/>
        <v>25195.15</v>
      </c>
    </row>
    <row r="207" spans="1:15" x14ac:dyDescent="0.2">
      <c r="B207" s="1"/>
    </row>
  </sheetData>
  <pageMargins left="0.7" right="0.7" top="0.75" bottom="0.75" header="0.3" footer="0.3"/>
  <ignoredErrors>
    <ignoredError sqref="C47:E47 F47:K47 C139:G139 C134:F134 H64:K64 C64:G64 G134:H134 I139:K139 H141:K141 C141:G141" formulaRange="1"/>
    <ignoredError sqref="G143 H139" formula="1"/>
  </ignoredErrors>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41336-2E39-7442-9864-91E9B0A07818}">
  <dimension ref="A1:S190"/>
  <sheetViews>
    <sheetView zoomScale="167" workbookViewId="0">
      <pane xSplit="2" ySplit="3" topLeftCell="C114" activePane="bottomRight" state="frozen"/>
      <selection pane="topRight" activeCell="C1" sqref="C1"/>
      <selection pane="bottomLeft" activeCell="A4" sqref="A4"/>
      <selection pane="bottomRight" activeCell="C121" sqref="C121:J121"/>
    </sheetView>
  </sheetViews>
  <sheetFormatPr baseColWidth="10" defaultRowHeight="16" outlineLevelRow="2" outlineLevelCol="1" x14ac:dyDescent="0.2"/>
  <cols>
    <col min="1" max="1" width="3.6640625" style="1" customWidth="1"/>
    <col min="2" max="2" width="32.5" style="9" customWidth="1"/>
    <col min="3" max="3" width="12" style="1" customWidth="1" outlineLevel="1"/>
    <col min="4" max="4" width="10.83203125" style="1" customWidth="1" outlineLevel="1"/>
    <col min="5" max="5" width="12" style="1" customWidth="1" outlineLevel="1"/>
    <col min="6" max="10" width="10.83203125" style="1" customWidth="1" outlineLevel="1"/>
    <col min="11" max="11" width="2" style="1" customWidth="1" outlineLevel="1"/>
    <col min="12" max="12" width="10.33203125" style="1" customWidth="1" outlineLevel="1"/>
    <col min="13" max="13" width="7.6640625" style="1" customWidth="1"/>
    <col min="14" max="14" width="10.83203125" style="1" customWidth="1"/>
    <col min="15" max="15" width="10.33203125" style="1" customWidth="1"/>
    <col min="16" max="17" width="10.83203125" style="1" customWidth="1"/>
    <col min="18" max="18" width="12" style="1" customWidth="1"/>
    <col min="19" max="19" width="18.1640625" style="1" customWidth="1"/>
    <col min="20" max="16384" width="10.83203125" style="1"/>
  </cols>
  <sheetData>
    <row r="1" spans="1:19" x14ac:dyDescent="0.2">
      <c r="B1" s="1"/>
    </row>
    <row r="2" spans="1:19" s="3" customFormat="1" x14ac:dyDescent="0.2">
      <c r="A2" s="2"/>
      <c r="B2" s="63" t="s">
        <v>0</v>
      </c>
      <c r="C2" s="3" t="s">
        <v>179</v>
      </c>
      <c r="D2" s="3" t="s">
        <v>177</v>
      </c>
      <c r="E2" s="3" t="s">
        <v>174</v>
      </c>
      <c r="F2" s="3" t="s">
        <v>119</v>
      </c>
      <c r="G2" s="3" t="s">
        <v>178</v>
      </c>
      <c r="H2" s="3" t="s">
        <v>176</v>
      </c>
      <c r="I2" s="37" t="s">
        <v>172</v>
      </c>
      <c r="J2" s="37" t="s">
        <v>228</v>
      </c>
      <c r="K2" s="2"/>
      <c r="L2" s="2"/>
      <c r="M2" s="2"/>
      <c r="N2" s="44"/>
      <c r="O2" s="2"/>
      <c r="P2" s="46"/>
      <c r="Q2" s="47"/>
      <c r="R2" s="48"/>
      <c r="S2" s="2"/>
    </row>
    <row r="3" spans="1:19" s="5" customFormat="1" x14ac:dyDescent="0.2">
      <c r="A3" s="4"/>
      <c r="B3" s="64" t="s">
        <v>67</v>
      </c>
      <c r="C3" s="3" t="s">
        <v>68</v>
      </c>
      <c r="D3" s="3" t="s">
        <v>69</v>
      </c>
      <c r="E3" s="3" t="s">
        <v>70</v>
      </c>
      <c r="F3" s="3" t="s">
        <v>173</v>
      </c>
      <c r="G3" s="3" t="s">
        <v>169</v>
      </c>
      <c r="H3" s="3" t="s">
        <v>170</v>
      </c>
      <c r="I3" s="37" t="s">
        <v>171</v>
      </c>
      <c r="J3" s="37" t="s">
        <v>233</v>
      </c>
      <c r="K3" s="4"/>
      <c r="L3" s="4"/>
      <c r="M3" s="4"/>
      <c r="N3" s="45"/>
      <c r="O3" s="4"/>
      <c r="P3" s="49" t="str">
        <f>I3</f>
        <v>Q3 2026</v>
      </c>
      <c r="Q3" s="5" t="str">
        <f>J3</f>
        <v>Q4 2026</v>
      </c>
      <c r="R3" s="50" t="s">
        <v>76</v>
      </c>
      <c r="S3" s="4"/>
    </row>
    <row r="4" spans="1:19" s="14" customFormat="1" ht="17" thickBot="1" x14ac:dyDescent="0.25">
      <c r="A4" s="4"/>
      <c r="B4" s="15" t="s">
        <v>5</v>
      </c>
      <c r="K4" s="4"/>
      <c r="L4" s="4"/>
      <c r="M4" s="4"/>
      <c r="N4" s="40" t="s">
        <v>74</v>
      </c>
      <c r="O4" s="4"/>
      <c r="P4" s="236" t="s">
        <v>75</v>
      </c>
      <c r="Q4" s="237"/>
      <c r="R4" s="238"/>
      <c r="S4" s="4"/>
    </row>
    <row r="5" spans="1:19" s="18" customFormat="1" outlineLevel="1" x14ac:dyDescent="0.2">
      <c r="A5" s="7"/>
      <c r="B5" s="17" t="s">
        <v>6</v>
      </c>
      <c r="C5" s="53">
        <v>101217</v>
      </c>
      <c r="D5" s="53">
        <v>102115</v>
      </c>
      <c r="E5" s="53">
        <v>106800</v>
      </c>
      <c r="F5" s="53">
        <v>109681</v>
      </c>
      <c r="G5" s="53">
        <v>115936</v>
      </c>
      <c r="H5" s="53">
        <v>117255</v>
      </c>
      <c r="I5" s="53">
        <v>120333</v>
      </c>
      <c r="J5" s="53">
        <v>127067</v>
      </c>
      <c r="K5" s="21"/>
      <c r="L5" s="21"/>
      <c r="M5" s="21"/>
      <c r="N5" s="61">
        <f t="shared" ref="N5:N21" si="0">SUM(G5:J5)</f>
        <v>480591</v>
      </c>
      <c r="O5" s="7"/>
      <c r="P5" s="71">
        <f t="shared" ref="P5:P25" si="1">I5</f>
        <v>120333</v>
      </c>
      <c r="Q5" s="56">
        <f t="shared" ref="Q5:Q25" si="2">J5</f>
        <v>127067</v>
      </c>
      <c r="R5" s="68">
        <f t="shared" ref="R5:R25" si="3">IF(P5=0,
IF(Q5=0,0,IF(Q5&gt;0,1,-1)),
(Q5-P5)/ABS(P5)
)</f>
        <v>5.5961373854221202E-2</v>
      </c>
      <c r="S5" s="7"/>
    </row>
    <row r="6" spans="1:19" outlineLevel="1" x14ac:dyDescent="0.2">
      <c r="B6" s="9" t="s">
        <v>7</v>
      </c>
      <c r="C6" s="27">
        <v>34020</v>
      </c>
      <c r="D6" s="27">
        <v>32811</v>
      </c>
      <c r="E6" s="27">
        <v>34537</v>
      </c>
      <c r="F6" s="27">
        <v>33566</v>
      </c>
      <c r="G6" s="27">
        <v>38065</v>
      </c>
      <c r="H6" s="27">
        <v>37641</v>
      </c>
      <c r="I6" s="27">
        <v>38027</v>
      </c>
      <c r="J6" s="27">
        <v>40390</v>
      </c>
      <c r="K6" s="20"/>
      <c r="L6" s="20"/>
      <c r="M6" s="20"/>
      <c r="N6" s="41">
        <f>SUM(G6:J6)</f>
        <v>154123</v>
      </c>
      <c r="P6" s="51">
        <f t="shared" si="1"/>
        <v>38027</v>
      </c>
      <c r="Q6" s="20">
        <f t="shared" si="2"/>
        <v>40390</v>
      </c>
      <c r="R6" s="52">
        <f t="shared" si="3"/>
        <v>6.2140058379572406E-2</v>
      </c>
    </row>
    <row r="7" spans="1:19" s="18" customFormat="1" outlineLevel="1" x14ac:dyDescent="0.2">
      <c r="A7" s="7"/>
      <c r="B7" s="17" t="s">
        <v>8</v>
      </c>
      <c r="C7" s="56">
        <f t="shared" ref="C7" si="4">C5-C6</f>
        <v>67197</v>
      </c>
      <c r="D7" s="56">
        <f>D5-D6</f>
        <v>69304</v>
      </c>
      <c r="E7" s="56">
        <f t="shared" ref="E7:J7" si="5">E5-E6</f>
        <v>72263</v>
      </c>
      <c r="F7" s="56">
        <f t="shared" si="5"/>
        <v>76115</v>
      </c>
      <c r="G7" s="56">
        <f t="shared" si="5"/>
        <v>77871</v>
      </c>
      <c r="H7" s="56">
        <f t="shared" si="5"/>
        <v>79614</v>
      </c>
      <c r="I7" s="56">
        <f t="shared" si="5"/>
        <v>82306</v>
      </c>
      <c r="J7" s="56">
        <f t="shared" si="5"/>
        <v>86677</v>
      </c>
      <c r="K7" s="21"/>
      <c r="L7" s="21"/>
      <c r="M7" s="21"/>
      <c r="N7" s="61">
        <f t="shared" si="0"/>
        <v>326468</v>
      </c>
      <c r="O7" s="7"/>
      <c r="P7" s="71">
        <f t="shared" si="1"/>
        <v>82306</v>
      </c>
      <c r="Q7" s="56">
        <f t="shared" si="2"/>
        <v>86677</v>
      </c>
      <c r="R7" s="68">
        <f t="shared" si="3"/>
        <v>5.3106699390080919E-2</v>
      </c>
      <c r="S7" s="7"/>
    </row>
    <row r="8" spans="1:19" outlineLevel="1" x14ac:dyDescent="0.2">
      <c r="B8" s="12" t="s">
        <v>94</v>
      </c>
      <c r="C8" s="27">
        <v>32011</v>
      </c>
      <c r="D8" s="27">
        <v>30184</v>
      </c>
      <c r="E8" s="27">
        <v>30071</v>
      </c>
      <c r="F8" s="27">
        <v>28863</v>
      </c>
      <c r="G8" s="27">
        <v>26043</v>
      </c>
      <c r="H8" s="27">
        <v>25396</v>
      </c>
      <c r="I8" s="27">
        <v>24148</v>
      </c>
      <c r="J8" s="27">
        <v>24656</v>
      </c>
      <c r="K8" s="20"/>
      <c r="L8" s="20"/>
      <c r="M8" s="20"/>
      <c r="N8" s="41">
        <f t="shared" si="0"/>
        <v>100243</v>
      </c>
      <c r="P8" s="51">
        <f t="shared" si="1"/>
        <v>24148</v>
      </c>
      <c r="Q8" s="20">
        <f t="shared" si="2"/>
        <v>24656</v>
      </c>
      <c r="R8" s="52">
        <f t="shared" si="3"/>
        <v>2.1036938876925624E-2</v>
      </c>
    </row>
    <row r="9" spans="1:19" s="8" customFormat="1" outlineLevel="1" x14ac:dyDescent="0.2">
      <c r="B9" s="12" t="s">
        <v>9</v>
      </c>
      <c r="C9" s="27">
        <v>28881</v>
      </c>
      <c r="D9" s="27">
        <v>29542</v>
      </c>
      <c r="E9" s="27">
        <v>29315</v>
      </c>
      <c r="F9" s="27">
        <v>29626</v>
      </c>
      <c r="G9" s="27">
        <v>31829</v>
      </c>
      <c r="H9" s="27">
        <v>29274</v>
      </c>
      <c r="I9" s="27">
        <v>29453</v>
      </c>
      <c r="J9" s="27">
        <v>30925</v>
      </c>
      <c r="K9" s="20"/>
      <c r="L9" s="20"/>
      <c r="M9" s="20"/>
      <c r="N9" s="41">
        <f t="shared" si="0"/>
        <v>121481</v>
      </c>
      <c r="P9" s="72">
        <f t="shared" si="1"/>
        <v>29453</v>
      </c>
      <c r="Q9" s="34">
        <f t="shared" si="2"/>
        <v>30925</v>
      </c>
      <c r="R9" s="69">
        <f t="shared" si="3"/>
        <v>4.9977930940820967E-2</v>
      </c>
    </row>
    <row r="10" spans="1:19" s="8" customFormat="1" outlineLevel="1" x14ac:dyDescent="0.2">
      <c r="B10" s="12" t="s">
        <v>95</v>
      </c>
      <c r="C10" s="27">
        <v>19052</v>
      </c>
      <c r="D10" s="27">
        <v>19497</v>
      </c>
      <c r="E10" s="27">
        <v>19633</v>
      </c>
      <c r="F10" s="27">
        <v>18415</v>
      </c>
      <c r="G10" s="27">
        <v>16408</v>
      </c>
      <c r="H10" s="27">
        <v>19042</v>
      </c>
      <c r="I10" s="27">
        <v>17488</v>
      </c>
      <c r="J10" s="27">
        <v>26965</v>
      </c>
      <c r="K10" s="20"/>
      <c r="L10" s="20"/>
      <c r="M10" s="20"/>
      <c r="N10" s="41">
        <f t="shared" si="0"/>
        <v>79903</v>
      </c>
      <c r="P10" s="72">
        <f t="shared" si="1"/>
        <v>17488</v>
      </c>
      <c r="Q10" s="34">
        <f t="shared" si="2"/>
        <v>26965</v>
      </c>
      <c r="R10" s="69">
        <f t="shared" si="3"/>
        <v>0.54191445562671547</v>
      </c>
    </row>
    <row r="11" spans="1:19" s="8" customFormat="1" outlineLevel="1" x14ac:dyDescent="0.2">
      <c r="B11" s="12" t="s">
        <v>85</v>
      </c>
      <c r="C11" s="27">
        <v>3524</v>
      </c>
      <c r="D11" s="27">
        <v>3921</v>
      </c>
      <c r="E11" s="27">
        <v>3566</v>
      </c>
      <c r="F11" s="27">
        <v>3172</v>
      </c>
      <c r="G11" s="27">
        <v>2986</v>
      </c>
      <c r="H11" s="27">
        <v>3279</v>
      </c>
      <c r="I11" s="27">
        <v>3199</v>
      </c>
      <c r="J11" s="27">
        <v>3508</v>
      </c>
      <c r="K11" s="20"/>
      <c r="L11" s="20"/>
      <c r="M11" s="20"/>
      <c r="N11" s="41">
        <f t="shared" si="0"/>
        <v>12972</v>
      </c>
      <c r="P11" s="72">
        <f t="shared" si="1"/>
        <v>3199</v>
      </c>
      <c r="Q11" s="34">
        <f t="shared" si="2"/>
        <v>3508</v>
      </c>
      <c r="R11" s="69">
        <f t="shared" si="3"/>
        <v>9.659268521412942E-2</v>
      </c>
    </row>
    <row r="12" spans="1:19" outlineLevel="1" x14ac:dyDescent="0.2">
      <c r="B12" s="12" t="s">
        <v>86</v>
      </c>
      <c r="C12" s="27">
        <v>3149</v>
      </c>
      <c r="D12" s="27">
        <v>3382</v>
      </c>
      <c r="E12" s="27">
        <v>3521</v>
      </c>
      <c r="F12" s="27">
        <v>3651</v>
      </c>
      <c r="G12" s="27">
        <v>3892</v>
      </c>
      <c r="H12" s="27">
        <v>4130</v>
      </c>
      <c r="I12" s="27">
        <v>4279</v>
      </c>
      <c r="J12" s="27">
        <v>6180</v>
      </c>
      <c r="K12" s="20"/>
      <c r="L12" s="20"/>
      <c r="M12" s="20"/>
      <c r="N12" s="41">
        <f t="shared" si="0"/>
        <v>18481</v>
      </c>
      <c r="P12" s="51">
        <f t="shared" si="1"/>
        <v>4279</v>
      </c>
      <c r="Q12" s="20">
        <f t="shared" si="2"/>
        <v>6180</v>
      </c>
      <c r="R12" s="52">
        <f t="shared" si="3"/>
        <v>0.44426267819584014</v>
      </c>
    </row>
    <row r="13" spans="1:19" outlineLevel="1" x14ac:dyDescent="0.2">
      <c r="B13" s="12" t="s">
        <v>11</v>
      </c>
      <c r="C13" s="20">
        <f t="shared" ref="C13:I13" si="6">SUM(C8:C12)</f>
        <v>86617</v>
      </c>
      <c r="D13" s="20">
        <f t="shared" si="6"/>
        <v>86526</v>
      </c>
      <c r="E13" s="20">
        <f t="shared" si="6"/>
        <v>86106</v>
      </c>
      <c r="F13" s="20">
        <f t="shared" si="6"/>
        <v>83727</v>
      </c>
      <c r="G13" s="20">
        <f t="shared" si="6"/>
        <v>81158</v>
      </c>
      <c r="H13" s="20">
        <f t="shared" si="6"/>
        <v>81121</v>
      </c>
      <c r="I13" s="20">
        <f t="shared" si="6"/>
        <v>78567</v>
      </c>
      <c r="J13" s="20">
        <f t="shared" ref="J13" si="7">SUM(J8:J12)</f>
        <v>92234</v>
      </c>
      <c r="K13" s="20"/>
      <c r="L13" s="20"/>
      <c r="M13" s="20"/>
      <c r="N13" s="41">
        <f t="shared" si="0"/>
        <v>333080</v>
      </c>
      <c r="P13" s="51">
        <f t="shared" si="1"/>
        <v>78567</v>
      </c>
      <c r="Q13" s="20">
        <f>J13</f>
        <v>92234</v>
      </c>
      <c r="R13" s="52">
        <f t="shared" si="3"/>
        <v>0.17395344101212978</v>
      </c>
    </row>
    <row r="14" spans="1:19" s="18" customFormat="1" outlineLevel="1" x14ac:dyDescent="0.2">
      <c r="A14" s="7"/>
      <c r="B14" s="17" t="s">
        <v>12</v>
      </c>
      <c r="C14" s="53">
        <v>-19420</v>
      </c>
      <c r="D14" s="53">
        <v>-17222</v>
      </c>
      <c r="E14" s="53">
        <v>-13843</v>
      </c>
      <c r="F14" s="53">
        <v>-7612</v>
      </c>
      <c r="G14" s="53">
        <v>-3287</v>
      </c>
      <c r="H14" s="53">
        <v>-1507</v>
      </c>
      <c r="I14" s="53">
        <v>3739</v>
      </c>
      <c r="J14" s="53">
        <v>-5557</v>
      </c>
      <c r="K14" s="21"/>
      <c r="L14" s="21"/>
      <c r="M14" s="21"/>
      <c r="N14" s="61">
        <f t="shared" si="0"/>
        <v>-6612</v>
      </c>
      <c r="O14" s="7"/>
      <c r="P14" s="71">
        <f t="shared" si="1"/>
        <v>3739</v>
      </c>
      <c r="Q14" s="56">
        <f t="shared" si="2"/>
        <v>-5557</v>
      </c>
      <c r="R14" s="68">
        <f t="shared" si="3"/>
        <v>-2.4862262637068735</v>
      </c>
      <c r="S14" s="7"/>
    </row>
    <row r="15" spans="1:19" outlineLevel="1" x14ac:dyDescent="0.2">
      <c r="B15" s="12" t="s">
        <v>122</v>
      </c>
      <c r="C15" s="27">
        <v>-31</v>
      </c>
      <c r="D15" s="27">
        <v>-86</v>
      </c>
      <c r="E15" s="27">
        <v>-144</v>
      </c>
      <c r="F15" s="27">
        <v>2217</v>
      </c>
      <c r="G15" s="27">
        <v>338</v>
      </c>
      <c r="H15" s="27">
        <v>336</v>
      </c>
      <c r="I15" s="27">
        <v>1006</v>
      </c>
      <c r="J15" s="27">
        <v>1273</v>
      </c>
      <c r="K15" s="20"/>
      <c r="L15" s="20"/>
      <c r="M15" s="20"/>
      <c r="N15" s="41">
        <f t="shared" si="0"/>
        <v>2953</v>
      </c>
      <c r="P15" s="51">
        <f t="shared" si="1"/>
        <v>1006</v>
      </c>
      <c r="Q15" s="20">
        <f t="shared" si="2"/>
        <v>1273</v>
      </c>
      <c r="R15" s="52">
        <f t="shared" si="3"/>
        <v>0.26540755467196819</v>
      </c>
    </row>
    <row r="16" spans="1:19" outlineLevel="1" x14ac:dyDescent="0.2">
      <c r="B16" s="12" t="s">
        <v>123</v>
      </c>
      <c r="C16" s="27">
        <v>0</v>
      </c>
      <c r="D16" s="27">
        <v>0</v>
      </c>
      <c r="E16" s="27">
        <v>0</v>
      </c>
      <c r="F16" s="27">
        <v>0</v>
      </c>
      <c r="G16" s="27">
        <v>0</v>
      </c>
      <c r="H16" s="27">
        <v>0</v>
      </c>
      <c r="I16" s="27">
        <v>0</v>
      </c>
      <c r="J16" s="27">
        <v>-501</v>
      </c>
      <c r="K16" s="20"/>
      <c r="L16" s="20"/>
      <c r="M16" s="20"/>
      <c r="N16" s="41">
        <f t="shared" si="0"/>
        <v>-501</v>
      </c>
      <c r="P16" s="51">
        <f t="shared" si="1"/>
        <v>0</v>
      </c>
      <c r="Q16" s="20">
        <f t="shared" si="2"/>
        <v>-501</v>
      </c>
      <c r="R16" s="52">
        <f t="shared" si="3"/>
        <v>-1</v>
      </c>
    </row>
    <row r="17" spans="1:19" outlineLevel="1" x14ac:dyDescent="0.2">
      <c r="B17" s="12" t="s">
        <v>234</v>
      </c>
      <c r="C17" s="27">
        <v>0</v>
      </c>
      <c r="D17" s="27">
        <v>0</v>
      </c>
      <c r="E17" s="27">
        <v>0</v>
      </c>
      <c r="F17" s="27">
        <v>0</v>
      </c>
      <c r="G17" s="27">
        <v>0</v>
      </c>
      <c r="H17" s="27">
        <v>0</v>
      </c>
      <c r="I17" s="27">
        <v>0</v>
      </c>
      <c r="J17" s="27">
        <v>-5807</v>
      </c>
      <c r="K17" s="20"/>
      <c r="L17" s="20"/>
      <c r="M17" s="20"/>
      <c r="N17" s="41">
        <f t="shared" si="0"/>
        <v>-5807</v>
      </c>
      <c r="P17" s="51">
        <f t="shared" si="1"/>
        <v>0</v>
      </c>
      <c r="Q17" s="20">
        <f t="shared" si="2"/>
        <v>-5807</v>
      </c>
      <c r="R17" s="52">
        <f t="shared" si="3"/>
        <v>-1</v>
      </c>
    </row>
    <row r="18" spans="1:19" outlineLevel="1" x14ac:dyDescent="0.2">
      <c r="B18" s="12" t="s">
        <v>104</v>
      </c>
      <c r="C18" s="27">
        <v>239</v>
      </c>
      <c r="D18" s="27">
        <v>46</v>
      </c>
      <c r="E18" s="27">
        <v>26</v>
      </c>
      <c r="F18" s="27">
        <v>19</v>
      </c>
      <c r="G18" s="27">
        <v>-230</v>
      </c>
      <c r="H18" s="27">
        <v>608</v>
      </c>
      <c r="I18" s="27">
        <v>380</v>
      </c>
      <c r="J18" s="27">
        <v>269</v>
      </c>
      <c r="K18" s="20"/>
      <c r="L18" s="20"/>
      <c r="M18" s="20"/>
      <c r="N18" s="41">
        <f t="shared" si="0"/>
        <v>1027</v>
      </c>
      <c r="P18" s="51">
        <f t="shared" si="1"/>
        <v>380</v>
      </c>
      <c r="Q18" s="20">
        <f t="shared" si="2"/>
        <v>269</v>
      </c>
      <c r="R18" s="52">
        <f t="shared" si="3"/>
        <v>-0.29210526315789476</v>
      </c>
    </row>
    <row r="19" spans="1:19" s="18" customFormat="1" outlineLevel="1" x14ac:dyDescent="0.2">
      <c r="A19" s="7"/>
      <c r="B19" s="17" t="s">
        <v>13</v>
      </c>
      <c r="C19" s="53">
        <v>-19212</v>
      </c>
      <c r="D19" s="53">
        <v>-17262</v>
      </c>
      <c r="E19" s="53">
        <v>-13961</v>
      </c>
      <c r="F19" s="53">
        <v>-5376</v>
      </c>
      <c r="G19" s="53">
        <v>-3179</v>
      </c>
      <c r="H19" s="53">
        <v>-563</v>
      </c>
      <c r="I19" s="53">
        <v>5125</v>
      </c>
      <c r="J19" s="53">
        <v>-10323</v>
      </c>
      <c r="K19" s="21"/>
      <c r="L19" s="21"/>
      <c r="M19" s="21"/>
      <c r="N19" s="61">
        <f t="shared" si="0"/>
        <v>-8940</v>
      </c>
      <c r="O19" s="7"/>
      <c r="P19" s="71">
        <f t="shared" si="1"/>
        <v>5125</v>
      </c>
      <c r="Q19" s="56">
        <f t="shared" si="2"/>
        <v>-10323</v>
      </c>
      <c r="R19" s="68">
        <f t="shared" si="3"/>
        <v>-3.0142439024390244</v>
      </c>
      <c r="S19" s="7"/>
    </row>
    <row r="20" spans="1:19" outlineLevel="1" x14ac:dyDescent="0.2">
      <c r="B20" s="12" t="s">
        <v>72</v>
      </c>
      <c r="C20" s="27">
        <v>-510</v>
      </c>
      <c r="D20" s="27">
        <v>-750</v>
      </c>
      <c r="E20" s="27">
        <v>-442</v>
      </c>
      <c r="F20" s="27">
        <v>-1014</v>
      </c>
      <c r="G20" s="27">
        <v>-735</v>
      </c>
      <c r="H20" s="27">
        <v>1217</v>
      </c>
      <c r="I20" s="27">
        <v>-854</v>
      </c>
      <c r="J20" s="27">
        <v>11618</v>
      </c>
      <c r="K20" s="20"/>
      <c r="L20" s="20"/>
      <c r="M20" s="20"/>
      <c r="N20" s="41">
        <f t="shared" si="0"/>
        <v>11246</v>
      </c>
      <c r="P20" s="51">
        <f t="shared" si="1"/>
        <v>-854</v>
      </c>
      <c r="Q20" s="20">
        <f t="shared" si="2"/>
        <v>11618</v>
      </c>
      <c r="R20" s="52">
        <f t="shared" si="3"/>
        <v>14.604215456674472</v>
      </c>
    </row>
    <row r="21" spans="1:19" s="18" customFormat="1" outlineLevel="1" x14ac:dyDescent="0.2">
      <c r="A21" s="7"/>
      <c r="B21" s="17" t="s">
        <v>14</v>
      </c>
      <c r="C21" s="53">
        <v>-19722</v>
      </c>
      <c r="D21" s="53">
        <v>-18012</v>
      </c>
      <c r="E21" s="53">
        <v>-14403</v>
      </c>
      <c r="F21" s="53">
        <v>-6390</v>
      </c>
      <c r="G21" s="53">
        <v>-3914</v>
      </c>
      <c r="H21" s="53">
        <v>654</v>
      </c>
      <c r="I21" s="53">
        <v>4271</v>
      </c>
      <c r="J21" s="53">
        <v>1295</v>
      </c>
      <c r="K21" s="21"/>
      <c r="L21" s="21"/>
      <c r="M21" s="21"/>
      <c r="N21" s="61">
        <f t="shared" si="0"/>
        <v>2306</v>
      </c>
      <c r="O21" s="7"/>
      <c r="P21" s="71">
        <f t="shared" si="1"/>
        <v>4271</v>
      </c>
      <c r="Q21" s="56">
        <f t="shared" si="2"/>
        <v>1295</v>
      </c>
      <c r="R21" s="68">
        <f t="shared" si="3"/>
        <v>-0.69679232029969562</v>
      </c>
      <c r="S21" s="7"/>
    </row>
    <row r="22" spans="1:19" outlineLevel="1" x14ac:dyDescent="0.2">
      <c r="B22" s="12" t="s">
        <v>15</v>
      </c>
      <c r="C22" s="27">
        <v>56666</v>
      </c>
      <c r="D22" s="27">
        <v>57503</v>
      </c>
      <c r="E22" s="27">
        <v>57892</v>
      </c>
      <c r="F22" s="27">
        <v>58278</v>
      </c>
      <c r="G22" s="27">
        <v>58921</v>
      </c>
      <c r="H22" s="27">
        <v>59592</v>
      </c>
      <c r="I22" s="27">
        <v>60009</v>
      </c>
      <c r="J22" s="27">
        <v>60404</v>
      </c>
      <c r="K22" s="20"/>
      <c r="L22" s="20"/>
      <c r="M22" s="20"/>
      <c r="N22" s="41">
        <f>AVERAGE(G22:J22)</f>
        <v>59731.5</v>
      </c>
      <c r="P22" s="51">
        <f t="shared" si="1"/>
        <v>60009</v>
      </c>
      <c r="Q22" s="20">
        <f t="shared" si="2"/>
        <v>60404</v>
      </c>
      <c r="R22" s="52">
        <f t="shared" si="3"/>
        <v>6.582345981436118E-3</v>
      </c>
    </row>
    <row r="23" spans="1:19" outlineLevel="1" x14ac:dyDescent="0.2">
      <c r="B23" s="12" t="s">
        <v>16</v>
      </c>
      <c r="C23" s="27">
        <v>56666</v>
      </c>
      <c r="D23" s="27">
        <v>57503</v>
      </c>
      <c r="E23" s="27">
        <v>57892</v>
      </c>
      <c r="F23" s="27">
        <v>58278</v>
      </c>
      <c r="G23" s="27">
        <v>58921</v>
      </c>
      <c r="H23" s="27">
        <v>61686</v>
      </c>
      <c r="I23" s="27">
        <v>61560</v>
      </c>
      <c r="J23" s="27">
        <v>61497</v>
      </c>
      <c r="K23" s="20"/>
      <c r="L23" s="20"/>
      <c r="M23" s="20"/>
      <c r="N23" s="41">
        <f>AVERAGE((G23:J23))</f>
        <v>60916</v>
      </c>
      <c r="P23" s="51">
        <f t="shared" si="1"/>
        <v>61560</v>
      </c>
      <c r="Q23" s="20">
        <f t="shared" si="2"/>
        <v>61497</v>
      </c>
      <c r="R23" s="52">
        <f t="shared" si="3"/>
        <v>-1.0233918128654971E-3</v>
      </c>
    </row>
    <row r="24" spans="1:19" outlineLevel="1" x14ac:dyDescent="0.2">
      <c r="B24" s="12" t="s">
        <v>17</v>
      </c>
      <c r="C24" s="31">
        <v>-0.35</v>
      </c>
      <c r="D24" s="31">
        <v>-0.31</v>
      </c>
      <c r="E24" s="31">
        <v>-0.25</v>
      </c>
      <c r="F24" s="31">
        <v>-0.11</v>
      </c>
      <c r="G24" s="31">
        <v>-7.0000000000000007E-2</v>
      </c>
      <c r="H24" s="31">
        <v>0.01</v>
      </c>
      <c r="I24" s="31">
        <v>7.0000000000000007E-2</v>
      </c>
      <c r="J24" s="31">
        <v>0.02</v>
      </c>
      <c r="K24" s="25"/>
      <c r="L24" s="25"/>
      <c r="M24" s="25"/>
      <c r="N24" s="42">
        <f>N21/N22</f>
        <v>3.8606095611193422E-2</v>
      </c>
      <c r="P24" s="73">
        <f t="shared" si="1"/>
        <v>7.0000000000000007E-2</v>
      </c>
      <c r="Q24" s="74">
        <f t="shared" si="2"/>
        <v>0.02</v>
      </c>
      <c r="R24" s="52">
        <f t="shared" si="3"/>
        <v>-0.7142857142857143</v>
      </c>
    </row>
    <row r="25" spans="1:19" s="16" customFormat="1" ht="17" outlineLevel="1" thickBot="1" x14ac:dyDescent="0.25">
      <c r="A25" s="1"/>
      <c r="B25" s="10" t="s">
        <v>18</v>
      </c>
      <c r="C25" s="32">
        <v>-0.35</v>
      </c>
      <c r="D25" s="32">
        <v>-0.31</v>
      </c>
      <c r="E25" s="32">
        <v>-0.25</v>
      </c>
      <c r="F25" s="32">
        <v>-0.11</v>
      </c>
      <c r="G25" s="32">
        <v>-7.0000000000000007E-2</v>
      </c>
      <c r="H25" s="32">
        <v>0.01</v>
      </c>
      <c r="I25" s="32">
        <v>7.0000000000000007E-2</v>
      </c>
      <c r="J25" s="32">
        <v>0.02</v>
      </c>
      <c r="K25" s="25"/>
      <c r="L25" s="25"/>
      <c r="M25" s="25"/>
      <c r="N25" s="43">
        <f>N21/N23</f>
        <v>3.7855407446319524E-2</v>
      </c>
      <c r="O25" s="1"/>
      <c r="P25" s="75">
        <f t="shared" si="1"/>
        <v>7.0000000000000007E-2</v>
      </c>
      <c r="Q25" s="76">
        <f t="shared" si="2"/>
        <v>0.02</v>
      </c>
      <c r="R25" s="70">
        <f t="shared" si="3"/>
        <v>-0.7142857142857143</v>
      </c>
      <c r="S25" s="1"/>
    </row>
    <row r="26" spans="1:19" s="16" customFormat="1" ht="17" thickBot="1" x14ac:dyDescent="0.25">
      <c r="A26" s="1"/>
      <c r="B26" s="6"/>
      <c r="E26" s="6"/>
      <c r="F26" s="6"/>
      <c r="G26" s="6"/>
      <c r="H26" s="6"/>
      <c r="I26" s="6"/>
      <c r="J26" s="8"/>
      <c r="K26" s="8"/>
      <c r="L26" s="8"/>
      <c r="M26" s="8"/>
      <c r="O26" s="1"/>
      <c r="S26" s="1"/>
    </row>
    <row r="27" spans="1:19" s="14" customFormat="1" ht="17" thickBot="1" x14ac:dyDescent="0.25">
      <c r="A27" s="4"/>
      <c r="B27" s="15" t="s">
        <v>19</v>
      </c>
      <c r="I27" s="135"/>
      <c r="J27" s="135"/>
      <c r="K27" s="4"/>
      <c r="L27" s="4"/>
      <c r="M27" s="4"/>
      <c r="O27" s="4"/>
      <c r="S27" s="4"/>
    </row>
    <row r="28" spans="1:19" outlineLevel="1" x14ac:dyDescent="0.2">
      <c r="B28" s="9" t="s">
        <v>20</v>
      </c>
      <c r="C28" s="27"/>
      <c r="D28" s="27"/>
      <c r="E28" s="27"/>
      <c r="F28" s="27"/>
      <c r="G28" s="27">
        <v>90871</v>
      </c>
      <c r="H28" s="27">
        <v>98266</v>
      </c>
      <c r="I28" s="27">
        <v>106371</v>
      </c>
      <c r="J28" s="27">
        <v>73830</v>
      </c>
      <c r="K28" s="20"/>
      <c r="L28" s="20"/>
      <c r="M28" s="20"/>
    </row>
    <row r="29" spans="1:19" outlineLevel="1" x14ac:dyDescent="0.2">
      <c r="B29" s="9" t="s">
        <v>124</v>
      </c>
      <c r="C29" s="27"/>
      <c r="D29" s="27"/>
      <c r="E29" s="27"/>
      <c r="F29" s="27"/>
      <c r="G29" s="27">
        <v>33006</v>
      </c>
      <c r="H29" s="27">
        <v>28875</v>
      </c>
      <c r="I29" s="27">
        <v>25391</v>
      </c>
      <c r="J29" s="27">
        <v>32999</v>
      </c>
      <c r="K29" s="20"/>
      <c r="L29" s="20"/>
      <c r="M29" s="20"/>
    </row>
    <row r="30" spans="1:19" outlineLevel="1" x14ac:dyDescent="0.2">
      <c r="B30" s="9" t="s">
        <v>21</v>
      </c>
      <c r="C30" s="27"/>
      <c r="D30" s="27"/>
      <c r="E30" s="27"/>
      <c r="F30" s="27"/>
      <c r="G30" s="27">
        <v>75099</v>
      </c>
      <c r="H30" s="27">
        <v>76842</v>
      </c>
      <c r="I30" s="27">
        <v>88257</v>
      </c>
      <c r="J30" s="27">
        <v>97453</v>
      </c>
      <c r="K30" s="20"/>
      <c r="L30" s="20"/>
      <c r="M30" s="20"/>
    </row>
    <row r="31" spans="1:19" outlineLevel="1" x14ac:dyDescent="0.2">
      <c r="B31" s="9" t="s">
        <v>229</v>
      </c>
      <c r="C31" s="27"/>
      <c r="D31" s="27"/>
      <c r="E31" s="27"/>
      <c r="F31" s="27"/>
      <c r="G31" s="27">
        <v>0</v>
      </c>
      <c r="H31" s="27">
        <v>0</v>
      </c>
      <c r="I31" s="27">
        <v>0</v>
      </c>
      <c r="J31" s="27">
        <v>38330</v>
      </c>
      <c r="K31" s="20"/>
      <c r="L31" s="20"/>
      <c r="M31" s="20"/>
    </row>
    <row r="32" spans="1:19" outlineLevel="1" x14ac:dyDescent="0.2">
      <c r="B32" s="9" t="s">
        <v>230</v>
      </c>
      <c r="C32" s="27"/>
      <c r="D32" s="27"/>
      <c r="E32" s="27"/>
      <c r="F32" s="27"/>
      <c r="G32" s="27">
        <v>0</v>
      </c>
      <c r="H32" s="27">
        <v>0</v>
      </c>
      <c r="I32" s="27">
        <v>0</v>
      </c>
      <c r="J32" s="27">
        <v>18003</v>
      </c>
      <c r="K32" s="20"/>
      <c r="L32" s="20"/>
      <c r="M32" s="20"/>
    </row>
    <row r="33" spans="1:19" outlineLevel="1" x14ac:dyDescent="0.2">
      <c r="B33" s="9" t="s">
        <v>231</v>
      </c>
      <c r="C33" s="27"/>
      <c r="D33" s="27"/>
      <c r="E33" s="27"/>
      <c r="F33" s="27"/>
      <c r="G33" s="27">
        <v>0</v>
      </c>
      <c r="H33" s="27">
        <v>0</v>
      </c>
      <c r="I33" s="27">
        <v>0</v>
      </c>
      <c r="J33" s="27">
        <v>840</v>
      </c>
      <c r="K33" s="20"/>
      <c r="L33" s="20"/>
      <c r="M33" s="20"/>
    </row>
    <row r="34" spans="1:19" outlineLevel="1" x14ac:dyDescent="0.2">
      <c r="B34" s="9" t="s">
        <v>125</v>
      </c>
      <c r="C34" s="27"/>
      <c r="D34" s="27"/>
      <c r="E34" s="27"/>
      <c r="F34" s="27"/>
      <c r="G34" s="27">
        <v>414</v>
      </c>
      <c r="H34" s="27">
        <v>431</v>
      </c>
      <c r="I34" s="27">
        <v>427</v>
      </c>
      <c r="J34" s="27">
        <v>410</v>
      </c>
      <c r="K34" s="20"/>
      <c r="L34" s="20"/>
      <c r="M34" s="20"/>
    </row>
    <row r="35" spans="1:19" outlineLevel="1" x14ac:dyDescent="0.2">
      <c r="B35" s="9" t="s">
        <v>126</v>
      </c>
      <c r="C35" s="27"/>
      <c r="D35" s="27"/>
      <c r="E35" s="27"/>
      <c r="F35" s="27"/>
      <c r="G35" s="27">
        <v>16019</v>
      </c>
      <c r="H35" s="27">
        <v>18227</v>
      </c>
      <c r="I35" s="27">
        <v>20460</v>
      </c>
      <c r="J35" s="27">
        <v>17978</v>
      </c>
      <c r="K35" s="20"/>
      <c r="L35" s="20"/>
      <c r="M35" s="20"/>
    </row>
    <row r="36" spans="1:19" s="7" customFormat="1" outlineLevel="1" x14ac:dyDescent="0.2">
      <c r="B36" s="11" t="s">
        <v>22</v>
      </c>
      <c r="C36" s="57"/>
      <c r="D36" s="57"/>
      <c r="E36" s="57"/>
      <c r="F36" s="57"/>
      <c r="G36" s="57">
        <v>215409</v>
      </c>
      <c r="H36" s="57">
        <v>222641</v>
      </c>
      <c r="I36" s="57">
        <v>240906</v>
      </c>
      <c r="J36" s="57">
        <v>279843</v>
      </c>
      <c r="K36" s="21"/>
      <c r="L36" s="21"/>
      <c r="M36" s="21"/>
    </row>
    <row r="37" spans="1:19" outlineLevel="1" x14ac:dyDescent="0.2">
      <c r="B37" s="9" t="s">
        <v>24</v>
      </c>
      <c r="C37" s="27"/>
      <c r="D37" s="27"/>
      <c r="E37" s="27"/>
      <c r="F37" s="27"/>
      <c r="G37" s="27">
        <v>23492</v>
      </c>
      <c r="H37" s="27">
        <v>22769</v>
      </c>
      <c r="I37" s="27">
        <v>21111</v>
      </c>
      <c r="J37" s="27">
        <v>20332</v>
      </c>
      <c r="K37" s="20"/>
      <c r="L37" s="20"/>
      <c r="M37" s="20"/>
    </row>
    <row r="38" spans="1:19" outlineLevel="1" x14ac:dyDescent="0.2">
      <c r="B38" s="9" t="s">
        <v>127</v>
      </c>
      <c r="C38" s="27"/>
      <c r="D38" s="27"/>
      <c r="E38" s="27"/>
      <c r="F38" s="27"/>
      <c r="G38" s="27">
        <v>53531</v>
      </c>
      <c r="H38" s="27">
        <v>53881</v>
      </c>
      <c r="I38" s="27">
        <v>54093</v>
      </c>
      <c r="J38" s="27">
        <v>54270</v>
      </c>
      <c r="K38" s="20"/>
      <c r="L38" s="20"/>
      <c r="M38" s="20"/>
    </row>
    <row r="39" spans="1:19" outlineLevel="1" x14ac:dyDescent="0.2">
      <c r="B39" s="9" t="s">
        <v>97</v>
      </c>
      <c r="C39" s="27"/>
      <c r="D39" s="27"/>
      <c r="E39" s="27"/>
      <c r="F39" s="27"/>
      <c r="G39" s="27">
        <v>1262</v>
      </c>
      <c r="H39" s="27">
        <v>1043</v>
      </c>
      <c r="I39" s="27">
        <v>820</v>
      </c>
      <c r="J39" s="27">
        <v>2002</v>
      </c>
      <c r="K39" s="20"/>
      <c r="L39" s="20"/>
      <c r="M39" s="20"/>
    </row>
    <row r="40" spans="1:19" outlineLevel="1" x14ac:dyDescent="0.2">
      <c r="B40" s="9" t="s">
        <v>125</v>
      </c>
      <c r="C40" s="27"/>
      <c r="D40" s="27"/>
      <c r="E40" s="27"/>
      <c r="F40" s="27"/>
      <c r="G40" s="27">
        <v>460</v>
      </c>
      <c r="H40" s="27">
        <v>551</v>
      </c>
      <c r="I40" s="27">
        <v>444</v>
      </c>
      <c r="J40" s="27">
        <v>338</v>
      </c>
      <c r="K40" s="20"/>
      <c r="L40" s="20"/>
      <c r="M40" s="20"/>
    </row>
    <row r="41" spans="1:19" outlineLevel="1" x14ac:dyDescent="0.2">
      <c r="B41" s="9" t="s">
        <v>105</v>
      </c>
      <c r="C41" s="27"/>
      <c r="D41" s="27"/>
      <c r="E41" s="27"/>
      <c r="F41" s="27"/>
      <c r="G41" s="27">
        <v>27273</v>
      </c>
      <c r="H41" s="27">
        <v>26403</v>
      </c>
      <c r="I41" s="27">
        <v>25532</v>
      </c>
      <c r="J41" s="27">
        <v>79761</v>
      </c>
      <c r="K41" s="20"/>
      <c r="L41" s="20"/>
      <c r="M41" s="20"/>
    </row>
    <row r="42" spans="1:19" outlineLevel="1" x14ac:dyDescent="0.2">
      <c r="B42" s="9" t="s">
        <v>23</v>
      </c>
      <c r="C42" s="27"/>
      <c r="D42" s="27"/>
      <c r="E42" s="27"/>
      <c r="F42" s="27"/>
      <c r="G42" s="27">
        <v>0</v>
      </c>
      <c r="H42" s="27">
        <v>1640</v>
      </c>
      <c r="I42" s="27">
        <v>1640</v>
      </c>
      <c r="J42" s="27">
        <v>1593</v>
      </c>
      <c r="K42" s="20"/>
      <c r="L42" s="20"/>
      <c r="M42" s="20"/>
    </row>
    <row r="43" spans="1:19" outlineLevel="1" x14ac:dyDescent="0.2">
      <c r="B43" s="9" t="s">
        <v>25</v>
      </c>
      <c r="C43" s="27"/>
      <c r="D43" s="27"/>
      <c r="E43" s="27"/>
      <c r="F43" s="27"/>
      <c r="G43" s="27">
        <v>75845</v>
      </c>
      <c r="H43" s="27">
        <v>75845</v>
      </c>
      <c r="I43" s="27">
        <v>75845</v>
      </c>
      <c r="J43" s="27">
        <v>170064</v>
      </c>
      <c r="K43" s="20"/>
      <c r="L43" s="20"/>
      <c r="M43" s="20"/>
    </row>
    <row r="44" spans="1:19" outlineLevel="1" x14ac:dyDescent="0.2">
      <c r="B44" s="9" t="s">
        <v>26</v>
      </c>
      <c r="C44" s="27"/>
      <c r="D44" s="27"/>
      <c r="E44" s="27"/>
      <c r="F44" s="27"/>
      <c r="G44" s="27">
        <v>3123</v>
      </c>
      <c r="H44" s="27">
        <v>3856</v>
      </c>
      <c r="I44" s="27">
        <v>3081</v>
      </c>
      <c r="J44" s="27">
        <v>2442</v>
      </c>
      <c r="K44" s="20"/>
      <c r="L44" s="20"/>
      <c r="M44" s="20"/>
    </row>
    <row r="45" spans="1:19" outlineLevel="1" x14ac:dyDescent="0.2">
      <c r="B45" s="134" t="s">
        <v>229</v>
      </c>
      <c r="C45" s="27"/>
      <c r="D45" s="27"/>
      <c r="E45" s="27"/>
      <c r="F45" s="27"/>
      <c r="G45" s="27">
        <v>0</v>
      </c>
      <c r="H45" s="27">
        <v>0</v>
      </c>
      <c r="I45" s="27">
        <v>0</v>
      </c>
      <c r="J45" s="27">
        <v>47723</v>
      </c>
      <c r="K45" s="20"/>
      <c r="L45" s="20"/>
      <c r="M45" s="20"/>
    </row>
    <row r="46" spans="1:19" outlineLevel="1" x14ac:dyDescent="0.2">
      <c r="B46" s="134" t="s">
        <v>230</v>
      </c>
      <c r="C46" s="27"/>
      <c r="D46" s="27"/>
      <c r="E46" s="27"/>
      <c r="F46" s="27"/>
      <c r="G46" s="27">
        <v>0</v>
      </c>
      <c r="H46" s="27">
        <v>0</v>
      </c>
      <c r="I46" s="27">
        <v>0</v>
      </c>
      <c r="J46" s="27">
        <v>5422</v>
      </c>
      <c r="K46" s="20"/>
      <c r="L46" s="20"/>
      <c r="M46" s="20"/>
    </row>
    <row r="47" spans="1:19" s="7" customFormat="1" outlineLevel="1" x14ac:dyDescent="0.2">
      <c r="B47" s="11" t="s">
        <v>27</v>
      </c>
      <c r="C47" s="58">
        <f t="shared" ref="C47:I47" si="8">SUM(C37:C44)</f>
        <v>0</v>
      </c>
      <c r="D47" s="58">
        <f t="shared" si="8"/>
        <v>0</v>
      </c>
      <c r="E47" s="58">
        <f t="shared" si="8"/>
        <v>0</v>
      </c>
      <c r="F47" s="58">
        <f t="shared" si="8"/>
        <v>0</v>
      </c>
      <c r="G47" s="58">
        <f t="shared" si="8"/>
        <v>184986</v>
      </c>
      <c r="H47" s="58">
        <f t="shared" si="8"/>
        <v>185988</v>
      </c>
      <c r="I47" s="58">
        <f t="shared" si="8"/>
        <v>182566</v>
      </c>
      <c r="J47" s="58">
        <f t="shared" ref="J47" si="9">SUM(J37:J44)</f>
        <v>330802</v>
      </c>
      <c r="K47" s="21"/>
      <c r="L47" s="21"/>
      <c r="M47" s="21"/>
    </row>
    <row r="48" spans="1:19" s="18" customFormat="1" outlineLevel="1" x14ac:dyDescent="0.2">
      <c r="A48" s="7"/>
      <c r="B48" s="17" t="s">
        <v>28</v>
      </c>
      <c r="C48" s="53"/>
      <c r="D48" s="53"/>
      <c r="E48" s="53"/>
      <c r="F48" s="53"/>
      <c r="G48" s="53">
        <v>400395</v>
      </c>
      <c r="H48" s="53">
        <v>408629</v>
      </c>
      <c r="I48" s="53">
        <v>423472</v>
      </c>
      <c r="J48" s="53">
        <v>663790</v>
      </c>
      <c r="K48" s="21"/>
      <c r="L48" s="21"/>
      <c r="M48" s="21"/>
      <c r="O48" s="7"/>
      <c r="S48" s="7"/>
    </row>
    <row r="49" spans="2:13" outlineLevel="1" x14ac:dyDescent="0.2">
      <c r="B49" s="9" t="s">
        <v>128</v>
      </c>
      <c r="C49" s="27"/>
      <c r="D49" s="27"/>
      <c r="E49" s="27"/>
      <c r="F49" s="27"/>
      <c r="G49" s="27">
        <v>33006</v>
      </c>
      <c r="H49" s="27">
        <v>28875</v>
      </c>
      <c r="I49" s="27">
        <v>25391</v>
      </c>
      <c r="J49" s="27">
        <v>32999</v>
      </c>
      <c r="K49" s="20"/>
      <c r="L49" s="20"/>
      <c r="M49" s="20"/>
    </row>
    <row r="50" spans="2:13" outlineLevel="1" x14ac:dyDescent="0.2">
      <c r="B50" s="9" t="s">
        <v>129</v>
      </c>
      <c r="C50" s="27"/>
      <c r="D50" s="27"/>
      <c r="E50" s="27"/>
      <c r="F50" s="27"/>
      <c r="G50" s="27">
        <v>8348</v>
      </c>
      <c r="H50" s="27">
        <v>7096</v>
      </c>
      <c r="I50" s="27">
        <v>6199</v>
      </c>
      <c r="J50" s="27">
        <v>7971</v>
      </c>
      <c r="K50" s="20"/>
      <c r="L50" s="20"/>
      <c r="M50" s="20"/>
    </row>
    <row r="51" spans="2:13" outlineLevel="1" x14ac:dyDescent="0.2">
      <c r="B51" s="9" t="s">
        <v>130</v>
      </c>
      <c r="C51" s="27"/>
      <c r="D51" s="27"/>
      <c r="E51" s="27"/>
      <c r="F51" s="27"/>
      <c r="G51" s="27">
        <v>957</v>
      </c>
      <c r="H51" s="27">
        <v>941</v>
      </c>
      <c r="I51" s="27">
        <v>746</v>
      </c>
      <c r="J51" s="27">
        <v>1254</v>
      </c>
      <c r="K51" s="20"/>
      <c r="L51" s="20"/>
      <c r="M51" s="20"/>
    </row>
    <row r="52" spans="2:13" outlineLevel="1" x14ac:dyDescent="0.2">
      <c r="B52" s="9" t="s">
        <v>29</v>
      </c>
      <c r="C52" s="27"/>
      <c r="D52" s="27"/>
      <c r="E52" s="27"/>
      <c r="F52" s="27"/>
      <c r="G52" s="27">
        <v>3204</v>
      </c>
      <c r="H52" s="27">
        <v>6527</v>
      </c>
      <c r="I52" s="27">
        <v>6218</v>
      </c>
      <c r="J52" s="27">
        <v>11477</v>
      </c>
      <c r="K52" s="20"/>
      <c r="L52" s="20"/>
      <c r="M52" s="20"/>
    </row>
    <row r="53" spans="2:13" outlineLevel="1" x14ac:dyDescent="0.2">
      <c r="B53" s="9" t="s">
        <v>131</v>
      </c>
      <c r="C53" s="27"/>
      <c r="D53" s="27"/>
      <c r="E53" s="27"/>
      <c r="F53" s="27"/>
      <c r="G53" s="27">
        <v>34059</v>
      </c>
      <c r="H53" s="27">
        <v>34783</v>
      </c>
      <c r="I53" s="27">
        <v>30517</v>
      </c>
      <c r="J53" s="27">
        <v>41257</v>
      </c>
      <c r="K53" s="20"/>
      <c r="L53" s="20"/>
      <c r="M53" s="20"/>
    </row>
    <row r="54" spans="2:13" outlineLevel="1" x14ac:dyDescent="0.2">
      <c r="B54" s="9" t="s">
        <v>232</v>
      </c>
      <c r="C54" s="27"/>
      <c r="D54" s="27"/>
      <c r="E54" s="27"/>
      <c r="F54" s="27"/>
      <c r="G54" s="27">
        <v>0</v>
      </c>
      <c r="H54" s="27">
        <v>0</v>
      </c>
      <c r="I54" s="27">
        <v>0</v>
      </c>
      <c r="J54" s="27">
        <v>38056</v>
      </c>
      <c r="K54" s="20"/>
      <c r="L54" s="20"/>
      <c r="M54" s="20"/>
    </row>
    <row r="55" spans="2:13" outlineLevel="1" x14ac:dyDescent="0.2">
      <c r="B55" s="9" t="s">
        <v>132</v>
      </c>
      <c r="C55" s="27"/>
      <c r="D55" s="27"/>
      <c r="E55" s="27"/>
      <c r="F55" s="27"/>
      <c r="G55" s="27">
        <v>31146</v>
      </c>
      <c r="H55" s="27">
        <v>26913</v>
      </c>
      <c r="I55" s="27">
        <v>29712</v>
      </c>
      <c r="J55" s="27">
        <v>49522</v>
      </c>
      <c r="K55" s="20"/>
      <c r="L55" s="20"/>
      <c r="M55" s="20"/>
    </row>
    <row r="56" spans="2:13" outlineLevel="1" x14ac:dyDescent="0.2">
      <c r="B56" s="9" t="s">
        <v>133</v>
      </c>
      <c r="C56" s="27"/>
      <c r="D56" s="27"/>
      <c r="E56" s="27"/>
      <c r="F56" s="27"/>
      <c r="G56" s="27">
        <v>0</v>
      </c>
      <c r="H56" s="27">
        <v>0</v>
      </c>
      <c r="I56" s="27">
        <v>0</v>
      </c>
      <c r="J56" s="27">
        <v>705</v>
      </c>
      <c r="K56" s="20"/>
      <c r="L56" s="20"/>
      <c r="M56" s="20"/>
    </row>
    <row r="57" spans="2:13" s="7" customFormat="1" outlineLevel="1" x14ac:dyDescent="0.2">
      <c r="B57" s="11" t="s">
        <v>32</v>
      </c>
      <c r="C57" s="57"/>
      <c r="D57" s="57"/>
      <c r="E57" s="57"/>
      <c r="F57" s="57"/>
      <c r="G57" s="57">
        <v>110720</v>
      </c>
      <c r="H57" s="57">
        <v>105135</v>
      </c>
      <c r="I57" s="57">
        <v>98783</v>
      </c>
      <c r="J57" s="57">
        <v>183241</v>
      </c>
      <c r="K57" s="21"/>
      <c r="L57" s="21"/>
      <c r="M57" s="21"/>
    </row>
    <row r="58" spans="2:13" outlineLevel="1" x14ac:dyDescent="0.2">
      <c r="B58" s="9" t="s">
        <v>134</v>
      </c>
      <c r="C58" s="27"/>
      <c r="D58" s="27"/>
      <c r="E58" s="27"/>
      <c r="F58" s="27"/>
      <c r="G58" s="27">
        <v>6162</v>
      </c>
      <c r="H58" s="27">
        <v>4576</v>
      </c>
      <c r="I58" s="27">
        <v>3353</v>
      </c>
      <c r="J58" s="27">
        <v>92117</v>
      </c>
      <c r="K58" s="20"/>
      <c r="L58" s="20"/>
      <c r="M58" s="20"/>
    </row>
    <row r="59" spans="2:13" outlineLevel="1" x14ac:dyDescent="0.2">
      <c r="B59" s="9" t="s">
        <v>135</v>
      </c>
      <c r="C59" s="27"/>
      <c r="D59" s="27"/>
      <c r="E59" s="27"/>
      <c r="F59" s="27"/>
      <c r="G59" s="27">
        <v>401</v>
      </c>
      <c r="H59" s="27">
        <v>179</v>
      </c>
      <c r="I59" s="27">
        <v>132</v>
      </c>
      <c r="J59" s="27">
        <v>1107</v>
      </c>
      <c r="K59" s="20"/>
      <c r="L59" s="20"/>
      <c r="M59" s="20"/>
    </row>
    <row r="60" spans="2:13" outlineLevel="1" x14ac:dyDescent="0.2">
      <c r="B60" s="134" t="s">
        <v>232</v>
      </c>
      <c r="C60" s="27"/>
      <c r="D60" s="27"/>
      <c r="E60" s="27"/>
      <c r="F60" s="27"/>
      <c r="G60" s="27">
        <v>0</v>
      </c>
      <c r="H60" s="27">
        <v>0</v>
      </c>
      <c r="I60" s="27">
        <v>0</v>
      </c>
      <c r="J60" s="27">
        <v>45329</v>
      </c>
      <c r="K60" s="20"/>
      <c r="L60" s="20"/>
      <c r="M60" s="20"/>
    </row>
    <row r="61" spans="2:13" outlineLevel="1" x14ac:dyDescent="0.2">
      <c r="B61" s="9" t="s">
        <v>132</v>
      </c>
      <c r="C61" s="27"/>
      <c r="D61" s="27"/>
      <c r="E61" s="27"/>
      <c r="F61" s="27"/>
      <c r="G61" s="27">
        <v>112</v>
      </c>
      <c r="H61" s="27">
        <v>81</v>
      </c>
      <c r="I61" s="27">
        <v>151</v>
      </c>
      <c r="J61" s="27">
        <v>244</v>
      </c>
      <c r="K61" s="20"/>
      <c r="L61" s="20"/>
      <c r="M61" s="20"/>
    </row>
    <row r="62" spans="2:13" outlineLevel="1" x14ac:dyDescent="0.2">
      <c r="B62" s="9" t="s">
        <v>106</v>
      </c>
      <c r="C62" s="27"/>
      <c r="D62" s="27"/>
      <c r="E62" s="27"/>
      <c r="F62" s="27"/>
      <c r="G62" s="27">
        <v>568</v>
      </c>
      <c r="H62" s="27">
        <v>626</v>
      </c>
      <c r="I62" s="27">
        <v>683</v>
      </c>
      <c r="J62" s="27">
        <v>4498</v>
      </c>
      <c r="K62" s="20"/>
      <c r="L62" s="20"/>
      <c r="M62" s="20"/>
    </row>
    <row r="63" spans="2:13" outlineLevel="1" x14ac:dyDescent="0.2">
      <c r="B63" s="9" t="s">
        <v>136</v>
      </c>
      <c r="C63" s="27"/>
      <c r="D63" s="27"/>
      <c r="E63" s="27"/>
      <c r="F63" s="27"/>
      <c r="G63" s="27">
        <v>246</v>
      </c>
      <c r="H63" s="27">
        <v>45</v>
      </c>
      <c r="I63" s="27">
        <v>41</v>
      </c>
      <c r="J63" s="27">
        <v>47</v>
      </c>
      <c r="K63" s="20"/>
      <c r="L63" s="20"/>
      <c r="M63" s="20"/>
    </row>
    <row r="64" spans="2:13" s="7" customFormat="1" outlineLevel="1" x14ac:dyDescent="0.2">
      <c r="B64" s="11" t="s">
        <v>30</v>
      </c>
      <c r="C64" s="58">
        <f t="shared" ref="C64:I64" si="10">SUM(C58:C63)</f>
        <v>0</v>
      </c>
      <c r="D64" s="58">
        <f t="shared" si="10"/>
        <v>0</v>
      </c>
      <c r="E64" s="58">
        <f t="shared" si="10"/>
        <v>0</v>
      </c>
      <c r="F64" s="58">
        <f t="shared" si="10"/>
        <v>0</v>
      </c>
      <c r="G64" s="58">
        <f t="shared" si="10"/>
        <v>7489</v>
      </c>
      <c r="H64" s="58">
        <f t="shared" si="10"/>
        <v>5507</v>
      </c>
      <c r="I64" s="58">
        <f t="shared" si="10"/>
        <v>4360</v>
      </c>
      <c r="J64" s="58">
        <f t="shared" ref="J64" si="11">SUM(J58:J58)</f>
        <v>92117</v>
      </c>
      <c r="K64" s="21"/>
      <c r="L64" s="21"/>
      <c r="M64" s="21"/>
    </row>
    <row r="65" spans="1:19" s="18" customFormat="1" outlineLevel="1" x14ac:dyDescent="0.2">
      <c r="A65" s="7"/>
      <c r="B65" s="17" t="s">
        <v>31</v>
      </c>
      <c r="C65" s="53"/>
      <c r="D65" s="53"/>
      <c r="E65" s="53"/>
      <c r="F65" s="53"/>
      <c r="G65" s="53">
        <v>118209</v>
      </c>
      <c r="H65" s="53">
        <v>110642</v>
      </c>
      <c r="I65" s="53">
        <v>103143</v>
      </c>
      <c r="J65" s="53">
        <v>326583</v>
      </c>
      <c r="K65" s="21"/>
      <c r="L65" s="21"/>
      <c r="M65" s="21"/>
      <c r="O65" s="7"/>
      <c r="S65" s="7"/>
    </row>
    <row r="66" spans="1:19" outlineLevel="1" x14ac:dyDescent="0.2">
      <c r="B66" s="9" t="s">
        <v>137</v>
      </c>
      <c r="C66" s="27"/>
      <c r="D66" s="27"/>
      <c r="E66" s="27"/>
      <c r="F66" s="27"/>
      <c r="G66" s="27">
        <v>0</v>
      </c>
      <c r="H66" s="27">
        <v>0</v>
      </c>
      <c r="I66" s="27">
        <v>0</v>
      </c>
      <c r="J66" s="27">
        <v>0</v>
      </c>
      <c r="K66" s="20"/>
      <c r="L66" s="20"/>
      <c r="M66" s="20"/>
    </row>
    <row r="67" spans="1:19" outlineLevel="1" x14ac:dyDescent="0.2">
      <c r="B67" s="9" t="s">
        <v>33</v>
      </c>
      <c r="C67" s="27"/>
      <c r="D67" s="27"/>
      <c r="E67" s="27"/>
      <c r="F67" s="27"/>
      <c r="G67" s="27">
        <v>608</v>
      </c>
      <c r="H67" s="27">
        <v>611</v>
      </c>
      <c r="I67" s="27">
        <v>616</v>
      </c>
      <c r="J67" s="27">
        <v>620</v>
      </c>
      <c r="K67" s="20"/>
      <c r="L67" s="20"/>
      <c r="M67" s="20"/>
    </row>
    <row r="68" spans="1:19" outlineLevel="1" x14ac:dyDescent="0.2">
      <c r="B68" s="9" t="s">
        <v>98</v>
      </c>
      <c r="C68" s="27"/>
      <c r="D68" s="27"/>
      <c r="E68" s="27"/>
      <c r="F68" s="27"/>
      <c r="G68" s="27">
        <v>1132124</v>
      </c>
      <c r="H68" s="27">
        <v>1147540</v>
      </c>
      <c r="I68" s="27">
        <v>1166078</v>
      </c>
      <c r="J68" s="27">
        <v>1181679</v>
      </c>
      <c r="K68" s="20"/>
      <c r="L68" s="20"/>
      <c r="M68" s="20"/>
    </row>
    <row r="69" spans="1:19" outlineLevel="1" x14ac:dyDescent="0.2">
      <c r="B69" s="9" t="s">
        <v>34</v>
      </c>
      <c r="C69" s="27"/>
      <c r="D69" s="27"/>
      <c r="E69" s="27"/>
      <c r="F69" s="27"/>
      <c r="G69" s="27">
        <v>-805410</v>
      </c>
      <c r="H69" s="27">
        <v>-804756</v>
      </c>
      <c r="I69" s="27">
        <v>-800485</v>
      </c>
      <c r="J69" s="27">
        <v>-799190</v>
      </c>
      <c r="K69" s="20"/>
      <c r="L69" s="20"/>
      <c r="M69" s="20"/>
    </row>
    <row r="70" spans="1:19" outlineLevel="1" x14ac:dyDescent="0.2">
      <c r="B70" s="9" t="s">
        <v>138</v>
      </c>
      <c r="C70" s="27"/>
      <c r="D70" s="27"/>
      <c r="E70" s="27"/>
      <c r="F70" s="27"/>
      <c r="G70" s="27">
        <v>384</v>
      </c>
      <c r="H70" s="27">
        <v>112</v>
      </c>
      <c r="I70" s="27">
        <v>-360</v>
      </c>
      <c r="J70" s="27">
        <v>-382</v>
      </c>
      <c r="K70" s="20"/>
      <c r="L70" s="20"/>
      <c r="M70" s="20"/>
    </row>
    <row r="71" spans="1:19" outlineLevel="1" x14ac:dyDescent="0.2">
      <c r="B71" s="9" t="s">
        <v>139</v>
      </c>
      <c r="C71" s="27"/>
      <c r="D71" s="27"/>
      <c r="E71" s="27"/>
      <c r="F71" s="27"/>
      <c r="G71" s="27">
        <v>-45520</v>
      </c>
      <c r="H71" s="27">
        <v>-45520</v>
      </c>
      <c r="I71" s="27">
        <v>-45520</v>
      </c>
      <c r="J71" s="27">
        <v>-45520</v>
      </c>
      <c r="K71" s="20"/>
      <c r="L71" s="20"/>
      <c r="M71" s="20"/>
    </row>
    <row r="72" spans="1:19" s="7" customFormat="1" outlineLevel="1" x14ac:dyDescent="0.2">
      <c r="B72" s="11" t="s">
        <v>35</v>
      </c>
      <c r="C72" s="57"/>
      <c r="D72" s="57"/>
      <c r="E72" s="57"/>
      <c r="F72" s="57"/>
      <c r="G72" s="57">
        <v>282186</v>
      </c>
      <c r="H72" s="57">
        <v>297987</v>
      </c>
      <c r="I72" s="57">
        <v>320329</v>
      </c>
      <c r="J72" s="57">
        <v>337207</v>
      </c>
      <c r="K72" s="21"/>
      <c r="L72" s="21"/>
      <c r="M72" s="21"/>
    </row>
    <row r="73" spans="1:19" s="13" customFormat="1" ht="17" outlineLevel="1" thickBot="1" x14ac:dyDescent="0.25">
      <c r="A73" s="7"/>
      <c r="B73" s="19" t="s">
        <v>36</v>
      </c>
      <c r="C73" s="60"/>
      <c r="D73" s="60"/>
      <c r="E73" s="60"/>
      <c r="F73" s="60"/>
      <c r="G73" s="60">
        <v>400395</v>
      </c>
      <c r="H73" s="60">
        <v>408629</v>
      </c>
      <c r="I73" s="60">
        <v>423472</v>
      </c>
      <c r="J73" s="60">
        <v>663790</v>
      </c>
      <c r="K73" s="21"/>
      <c r="L73" s="21"/>
      <c r="M73" s="21"/>
      <c r="O73" s="7"/>
      <c r="S73" s="7"/>
    </row>
    <row r="74" spans="1:19" x14ac:dyDescent="0.2">
      <c r="B74" s="1"/>
    </row>
    <row r="75" spans="1:19" s="14" customFormat="1" ht="17" thickBot="1" x14ac:dyDescent="0.25">
      <c r="A75" s="4"/>
      <c r="B75" s="15" t="s">
        <v>37</v>
      </c>
      <c r="H75" s="124"/>
      <c r="I75" s="124"/>
      <c r="J75" s="124"/>
      <c r="K75" s="4"/>
      <c r="L75" s="4"/>
      <c r="M75" s="4"/>
      <c r="O75" s="4"/>
      <c r="S75" s="4"/>
    </row>
    <row r="76" spans="1:19" outlineLevel="1" x14ac:dyDescent="0.2">
      <c r="B76" s="9" t="s">
        <v>14</v>
      </c>
      <c r="C76" s="20">
        <f t="shared" ref="C76:J76" si="12">C21</f>
        <v>-19722</v>
      </c>
      <c r="D76" s="20">
        <f t="shared" si="12"/>
        <v>-18012</v>
      </c>
      <c r="E76" s="20">
        <f t="shared" si="12"/>
        <v>-14403</v>
      </c>
      <c r="F76" s="20">
        <f t="shared" si="12"/>
        <v>-6390</v>
      </c>
      <c r="G76" s="20">
        <f t="shared" si="12"/>
        <v>-3914</v>
      </c>
      <c r="H76" s="118">
        <v>654</v>
      </c>
      <c r="I76" s="118">
        <f t="shared" si="12"/>
        <v>4271</v>
      </c>
      <c r="J76" s="20">
        <f t="shared" si="12"/>
        <v>1295</v>
      </c>
      <c r="K76" s="20"/>
      <c r="L76" s="20"/>
      <c r="M76" s="20"/>
    </row>
    <row r="77" spans="1:19" outlineLevel="1" x14ac:dyDescent="0.2">
      <c r="B77" s="9" t="s">
        <v>38</v>
      </c>
      <c r="C77" s="27">
        <v>6673</v>
      </c>
      <c r="D77" s="27">
        <v>7303</v>
      </c>
      <c r="E77" s="27">
        <v>7087</v>
      </c>
      <c r="F77" s="27">
        <v>6823</v>
      </c>
      <c r="G77" s="27">
        <v>6878</v>
      </c>
      <c r="H77" s="87">
        <v>7409</v>
      </c>
      <c r="I77" s="87">
        <v>7478</v>
      </c>
      <c r="J77" s="27">
        <v>9688</v>
      </c>
      <c r="K77" s="27"/>
      <c r="L77" s="27"/>
      <c r="M77" s="20"/>
      <c r="N77" s="20">
        <f>SUM(G77:J77)</f>
        <v>31453</v>
      </c>
    </row>
    <row r="78" spans="1:19" outlineLevel="1" x14ac:dyDescent="0.2">
      <c r="B78" s="12" t="s">
        <v>99</v>
      </c>
      <c r="C78" s="27">
        <v>16840</v>
      </c>
      <c r="D78" s="27">
        <v>16448</v>
      </c>
      <c r="E78" s="27">
        <v>16525</v>
      </c>
      <c r="F78" s="27">
        <v>17162</v>
      </c>
      <c r="G78" s="27">
        <v>17225</v>
      </c>
      <c r="H78" s="87">
        <v>16230</v>
      </c>
      <c r="I78" s="87">
        <v>15959</v>
      </c>
      <c r="J78" s="27">
        <v>18038</v>
      </c>
      <c r="K78" s="27"/>
      <c r="L78" s="27"/>
      <c r="M78" s="20"/>
    </row>
    <row r="79" spans="1:19" outlineLevel="1" x14ac:dyDescent="0.2">
      <c r="B79" s="12" t="s">
        <v>140</v>
      </c>
      <c r="C79" s="27">
        <v>61</v>
      </c>
      <c r="D79" s="27">
        <v>51</v>
      </c>
      <c r="E79" s="27">
        <v>62</v>
      </c>
      <c r="F79" s="27">
        <v>62</v>
      </c>
      <c r="G79" s="27">
        <v>62</v>
      </c>
      <c r="H79" s="87">
        <v>62</v>
      </c>
      <c r="I79" s="87">
        <v>61</v>
      </c>
      <c r="J79" s="27">
        <v>2792</v>
      </c>
      <c r="K79" s="27"/>
      <c r="L79" s="87"/>
      <c r="M79" s="20"/>
    </row>
    <row r="80" spans="1:19" outlineLevel="1" x14ac:dyDescent="0.2">
      <c r="B80" s="12" t="s">
        <v>160</v>
      </c>
      <c r="C80" s="27">
        <v>0</v>
      </c>
      <c r="D80" s="27">
        <v>0</v>
      </c>
      <c r="E80" s="27">
        <v>0</v>
      </c>
      <c r="F80" s="27">
        <v>0</v>
      </c>
      <c r="G80" s="27">
        <v>0</v>
      </c>
      <c r="H80" s="87">
        <v>0</v>
      </c>
      <c r="I80" s="87">
        <v>0</v>
      </c>
      <c r="J80" s="27">
        <v>501</v>
      </c>
      <c r="K80" s="27"/>
      <c r="L80" s="87"/>
      <c r="M80" s="20"/>
    </row>
    <row r="81" spans="2:19" outlineLevel="1" x14ac:dyDescent="0.2">
      <c r="B81" s="12" t="s">
        <v>141</v>
      </c>
      <c r="C81" s="27">
        <v>0</v>
      </c>
      <c r="D81" s="27">
        <v>0</v>
      </c>
      <c r="E81" s="27">
        <v>0</v>
      </c>
      <c r="F81" s="27">
        <v>-2345</v>
      </c>
      <c r="G81" s="27">
        <v>0</v>
      </c>
      <c r="H81" s="87">
        <v>0</v>
      </c>
      <c r="I81" s="87">
        <v>0</v>
      </c>
      <c r="J81" s="27">
        <v>0</v>
      </c>
      <c r="K81" s="27"/>
      <c r="L81" s="27"/>
      <c r="M81" s="20"/>
    </row>
    <row r="82" spans="2:19" outlineLevel="1" x14ac:dyDescent="0.2">
      <c r="B82" s="12" t="s">
        <v>142</v>
      </c>
      <c r="C82" s="27">
        <v>343</v>
      </c>
      <c r="D82" s="27">
        <v>334</v>
      </c>
      <c r="E82" s="27">
        <v>571</v>
      </c>
      <c r="F82" s="27">
        <v>625</v>
      </c>
      <c r="G82" s="27">
        <v>436</v>
      </c>
      <c r="H82" s="87">
        <v>157</v>
      </c>
      <c r="I82" s="87">
        <v>235</v>
      </c>
      <c r="J82" s="27">
        <v>194</v>
      </c>
      <c r="K82" s="27"/>
      <c r="L82" s="27"/>
      <c r="M82" s="20"/>
    </row>
    <row r="83" spans="2:19" outlineLevel="1" x14ac:dyDescent="0.2">
      <c r="B83" s="12" t="s">
        <v>143</v>
      </c>
      <c r="C83" s="27">
        <v>192</v>
      </c>
      <c r="D83" s="27">
        <v>192</v>
      </c>
      <c r="E83" s="27">
        <v>1322</v>
      </c>
      <c r="F83" s="27">
        <v>109</v>
      </c>
      <c r="G83" s="27">
        <v>110</v>
      </c>
      <c r="H83" s="87">
        <v>242</v>
      </c>
      <c r="I83" s="87">
        <v>111</v>
      </c>
      <c r="J83" s="27">
        <v>107</v>
      </c>
      <c r="K83" s="27"/>
      <c r="L83" s="27"/>
      <c r="M83" s="20"/>
    </row>
    <row r="84" spans="2:19" outlineLevel="1" x14ac:dyDescent="0.2">
      <c r="B84" s="12" t="s">
        <v>144</v>
      </c>
      <c r="C84" s="27">
        <v>173</v>
      </c>
      <c r="D84" s="27">
        <v>188</v>
      </c>
      <c r="E84" s="27">
        <v>207</v>
      </c>
      <c r="F84" s="27">
        <v>179</v>
      </c>
      <c r="G84" s="27">
        <v>215</v>
      </c>
      <c r="H84" s="87">
        <v>218</v>
      </c>
      <c r="I84" s="87">
        <v>224</v>
      </c>
      <c r="J84" s="27">
        <v>257</v>
      </c>
      <c r="K84" s="27"/>
      <c r="L84" s="27"/>
      <c r="M84" s="20"/>
    </row>
    <row r="85" spans="2:19" outlineLevel="1" x14ac:dyDescent="0.2">
      <c r="B85" s="12" t="s">
        <v>161</v>
      </c>
      <c r="C85" s="27">
        <v>0</v>
      </c>
      <c r="D85" s="27">
        <v>0</v>
      </c>
      <c r="E85" s="27">
        <v>0</v>
      </c>
      <c r="F85" s="27">
        <v>0</v>
      </c>
      <c r="G85" s="27">
        <v>0</v>
      </c>
      <c r="H85" s="87">
        <v>0</v>
      </c>
      <c r="I85" s="87">
        <v>0</v>
      </c>
      <c r="J85" s="27">
        <v>0</v>
      </c>
      <c r="K85" s="27"/>
      <c r="L85" s="27"/>
      <c r="M85" s="20"/>
    </row>
    <row r="86" spans="2:19" outlineLevel="1" x14ac:dyDescent="0.2">
      <c r="B86" s="12" t="s">
        <v>145</v>
      </c>
      <c r="C86" s="27">
        <v>63</v>
      </c>
      <c r="D86" s="27">
        <v>56</v>
      </c>
      <c r="E86" s="27">
        <v>57</v>
      </c>
      <c r="F86" s="27">
        <v>38</v>
      </c>
      <c r="G86" s="27">
        <v>85</v>
      </c>
      <c r="H86" s="87">
        <v>-1583</v>
      </c>
      <c r="I86" s="87">
        <v>57</v>
      </c>
      <c r="J86" s="27">
        <v>-11830</v>
      </c>
      <c r="K86" s="27"/>
      <c r="L86" s="27"/>
      <c r="M86" s="20"/>
    </row>
    <row r="87" spans="2:19" outlineLevel="1" x14ac:dyDescent="0.2">
      <c r="B87" s="12" t="s">
        <v>235</v>
      </c>
      <c r="C87" s="27">
        <v>0</v>
      </c>
      <c r="D87" s="27">
        <v>0</v>
      </c>
      <c r="E87" s="27">
        <v>0</v>
      </c>
      <c r="F87" s="27">
        <v>0</v>
      </c>
      <c r="G87" s="27">
        <v>0</v>
      </c>
      <c r="H87" s="87">
        <v>0</v>
      </c>
      <c r="I87" s="87">
        <v>0</v>
      </c>
      <c r="J87" s="27">
        <v>-1020</v>
      </c>
      <c r="K87" s="27"/>
      <c r="L87" s="27"/>
      <c r="M87" s="20"/>
    </row>
    <row r="88" spans="2:19" outlineLevel="1" x14ac:dyDescent="0.2">
      <c r="B88" s="9" t="s">
        <v>39</v>
      </c>
      <c r="C88" s="27">
        <v>-1393</v>
      </c>
      <c r="D88" s="27">
        <v>4976</v>
      </c>
      <c r="E88" s="27">
        <v>-10141</v>
      </c>
      <c r="F88" s="27">
        <v>-2254</v>
      </c>
      <c r="G88" s="27">
        <v>-1490</v>
      </c>
      <c r="H88" s="87">
        <v>-1820</v>
      </c>
      <c r="I88" s="87">
        <v>-11455</v>
      </c>
      <c r="J88" s="27">
        <v>-8632</v>
      </c>
      <c r="K88" s="27"/>
      <c r="L88" s="27">
        <f>C89+C90+C91+C92+C94+C95+C96+C97</f>
        <v>-1015</v>
      </c>
      <c r="M88" s="27">
        <f t="shared" ref="M88:S88" si="13">D89+D90+D91+D92+D94+D95+D96+D97</f>
        <v>-1661</v>
      </c>
      <c r="N88" s="27">
        <f t="shared" si="13"/>
        <v>-2450</v>
      </c>
      <c r="O88" s="27">
        <f t="shared" si="13"/>
        <v>10679</v>
      </c>
      <c r="P88" s="27">
        <f t="shared" si="13"/>
        <v>-3018</v>
      </c>
      <c r="Q88" s="27">
        <f t="shared" si="13"/>
        <v>-8802</v>
      </c>
      <c r="R88" s="27">
        <f t="shared" si="13"/>
        <v>-2777</v>
      </c>
      <c r="S88" s="27">
        <f t="shared" si="13"/>
        <v>18643</v>
      </c>
    </row>
    <row r="89" spans="2:19" outlineLevel="1" x14ac:dyDescent="0.2">
      <c r="B89" s="9" t="s">
        <v>236</v>
      </c>
      <c r="C89" s="27">
        <v>0</v>
      </c>
      <c r="D89" s="27">
        <v>0</v>
      </c>
      <c r="E89" s="27">
        <v>0</v>
      </c>
      <c r="F89" s="27">
        <v>0</v>
      </c>
      <c r="G89" s="27">
        <v>0</v>
      </c>
      <c r="H89" s="87">
        <v>0</v>
      </c>
      <c r="I89" s="87">
        <v>0</v>
      </c>
      <c r="J89" s="27">
        <v>13691</v>
      </c>
      <c r="K89" s="27"/>
      <c r="L89" s="27"/>
      <c r="M89" s="20"/>
    </row>
    <row r="90" spans="2:19" outlineLevel="1" x14ac:dyDescent="0.2">
      <c r="B90" s="9" t="s">
        <v>237</v>
      </c>
      <c r="C90" s="27">
        <v>0</v>
      </c>
      <c r="D90" s="27">
        <v>0</v>
      </c>
      <c r="E90" s="27">
        <v>0</v>
      </c>
      <c r="F90" s="27">
        <v>0</v>
      </c>
      <c r="G90" s="27">
        <v>0</v>
      </c>
      <c r="H90" s="87">
        <v>0</v>
      </c>
      <c r="I90" s="87">
        <v>0</v>
      </c>
      <c r="J90" s="27">
        <v>-446</v>
      </c>
      <c r="K90" s="27"/>
      <c r="L90" s="27"/>
      <c r="M90" s="20"/>
    </row>
    <row r="91" spans="2:19" outlineLevel="1" x14ac:dyDescent="0.2">
      <c r="B91" s="9" t="s">
        <v>101</v>
      </c>
      <c r="C91" s="27">
        <v>414</v>
      </c>
      <c r="D91" s="27">
        <v>2867</v>
      </c>
      <c r="E91" s="27">
        <v>1005</v>
      </c>
      <c r="F91" s="27">
        <v>-5713</v>
      </c>
      <c r="G91" s="27">
        <v>-256</v>
      </c>
      <c r="H91" s="87">
        <v>-2660</v>
      </c>
      <c r="I91" s="87">
        <v>-1952</v>
      </c>
      <c r="J91" s="27">
        <v>3475</v>
      </c>
      <c r="K91" s="27"/>
      <c r="L91" s="27"/>
      <c r="M91" s="20"/>
    </row>
    <row r="92" spans="2:19" outlineLevel="1" x14ac:dyDescent="0.2">
      <c r="B92" s="9" t="s">
        <v>146</v>
      </c>
      <c r="C92" s="27">
        <v>0</v>
      </c>
      <c r="D92" s="27">
        <v>-213</v>
      </c>
      <c r="E92" s="27">
        <v>-552</v>
      </c>
      <c r="F92" s="27">
        <v>-280</v>
      </c>
      <c r="G92" s="27">
        <v>0</v>
      </c>
      <c r="H92" s="87">
        <v>-351</v>
      </c>
      <c r="I92" s="87">
        <v>0</v>
      </c>
      <c r="J92" s="27">
        <v>17</v>
      </c>
      <c r="K92" s="27"/>
      <c r="L92" s="27"/>
      <c r="M92" s="20"/>
    </row>
    <row r="93" spans="2:19" outlineLevel="1" x14ac:dyDescent="0.2">
      <c r="B93" s="9" t="s">
        <v>40</v>
      </c>
      <c r="C93" s="27">
        <v>-2936</v>
      </c>
      <c r="D93" s="27">
        <v>1186</v>
      </c>
      <c r="E93" s="27">
        <v>6948</v>
      </c>
      <c r="F93" s="27">
        <v>-8432</v>
      </c>
      <c r="G93" s="27">
        <v>-1739</v>
      </c>
      <c r="H93" s="87">
        <v>2068</v>
      </c>
      <c r="I93" s="87">
        <v>1303</v>
      </c>
      <c r="J93" s="27">
        <v>3629</v>
      </c>
      <c r="K93" s="27"/>
      <c r="L93" s="27"/>
      <c r="M93" s="20"/>
    </row>
    <row r="94" spans="2:19" outlineLevel="1" x14ac:dyDescent="0.2">
      <c r="B94" s="9" t="s">
        <v>102</v>
      </c>
      <c r="C94" s="27">
        <v>-1155</v>
      </c>
      <c r="D94" s="27">
        <v>-1392</v>
      </c>
      <c r="E94" s="27">
        <v>-3655</v>
      </c>
      <c r="F94" s="27">
        <v>6384</v>
      </c>
      <c r="G94" s="27">
        <v>-891</v>
      </c>
      <c r="H94" s="87">
        <v>-1289</v>
      </c>
      <c r="I94" s="87">
        <v>-3452</v>
      </c>
      <c r="J94" s="27">
        <v>8526</v>
      </c>
      <c r="K94" s="27"/>
      <c r="L94" s="27"/>
      <c r="M94" s="20"/>
    </row>
    <row r="95" spans="2:19" outlineLevel="1" x14ac:dyDescent="0.2">
      <c r="B95" s="9" t="s">
        <v>238</v>
      </c>
      <c r="C95" s="27">
        <v>0</v>
      </c>
      <c r="D95" s="27">
        <v>0</v>
      </c>
      <c r="E95" s="27">
        <v>0</v>
      </c>
      <c r="F95" s="27">
        <v>0</v>
      </c>
      <c r="G95" s="27">
        <v>0</v>
      </c>
      <c r="H95" s="87">
        <v>0</v>
      </c>
      <c r="I95" s="87">
        <v>0</v>
      </c>
      <c r="J95" s="27">
        <v>-17588</v>
      </c>
      <c r="K95" s="27"/>
      <c r="L95" s="27"/>
      <c r="M95" s="20"/>
    </row>
    <row r="96" spans="2:19" outlineLevel="1" x14ac:dyDescent="0.2">
      <c r="B96" s="9" t="s">
        <v>147</v>
      </c>
      <c r="C96" s="27">
        <v>-219</v>
      </c>
      <c r="D96" s="27">
        <v>-201</v>
      </c>
      <c r="E96" s="27">
        <v>-202</v>
      </c>
      <c r="F96" s="27">
        <v>-202</v>
      </c>
      <c r="G96" s="27">
        <v>-252</v>
      </c>
      <c r="H96" s="87">
        <v>-238</v>
      </c>
      <c r="I96" s="87">
        <v>-242</v>
      </c>
      <c r="J96" s="27">
        <v>-375</v>
      </c>
      <c r="K96" s="27"/>
      <c r="L96" s="27"/>
      <c r="M96" s="20"/>
    </row>
    <row r="97" spans="1:19" outlineLevel="1" x14ac:dyDescent="0.2">
      <c r="B97" s="9" t="s">
        <v>100</v>
      </c>
      <c r="C97" s="27">
        <v>-55</v>
      </c>
      <c r="D97" s="27">
        <v>-2722</v>
      </c>
      <c r="E97" s="27">
        <v>954</v>
      </c>
      <c r="F97" s="27">
        <v>10490</v>
      </c>
      <c r="G97" s="27">
        <v>-1619</v>
      </c>
      <c r="H97" s="87">
        <v>-4264</v>
      </c>
      <c r="I97" s="87">
        <v>2869</v>
      </c>
      <c r="J97" s="27">
        <v>11343</v>
      </c>
      <c r="K97" s="27"/>
      <c r="L97" s="27"/>
      <c r="M97" s="20"/>
    </row>
    <row r="98" spans="1:19" s="18" customFormat="1" outlineLevel="1" x14ac:dyDescent="0.2">
      <c r="A98" s="7"/>
      <c r="B98" s="17" t="s">
        <v>41</v>
      </c>
      <c r="C98" s="53">
        <v>-721</v>
      </c>
      <c r="D98" s="53">
        <v>11061</v>
      </c>
      <c r="E98" s="53">
        <v>5785</v>
      </c>
      <c r="F98" s="53">
        <v>16256</v>
      </c>
      <c r="G98" s="53">
        <v>14850</v>
      </c>
      <c r="H98" s="136">
        <v>14835</v>
      </c>
      <c r="I98" s="136">
        <v>15467</v>
      </c>
      <c r="J98" s="53">
        <v>33662</v>
      </c>
      <c r="K98" s="33"/>
      <c r="L98" s="33"/>
      <c r="M98" s="21"/>
      <c r="O98" s="7"/>
      <c r="S98" s="7"/>
    </row>
    <row r="99" spans="1:19" outlineLevel="1" x14ac:dyDescent="0.2">
      <c r="B99" s="9" t="s">
        <v>148</v>
      </c>
      <c r="C99" s="27">
        <v>0</v>
      </c>
      <c r="D99" s="27">
        <v>0</v>
      </c>
      <c r="E99" s="27">
        <v>0</v>
      </c>
      <c r="F99" s="27">
        <v>0</v>
      </c>
      <c r="G99" s="27">
        <v>0</v>
      </c>
      <c r="H99" s="87">
        <v>0</v>
      </c>
      <c r="I99" s="87">
        <v>0</v>
      </c>
      <c r="J99" s="27">
        <v>-153191</v>
      </c>
      <c r="K99" s="27"/>
      <c r="L99" s="27"/>
      <c r="M99" s="20"/>
    </row>
    <row r="100" spans="1:19" outlineLevel="1" x14ac:dyDescent="0.2">
      <c r="B100" s="9" t="s">
        <v>127</v>
      </c>
      <c r="C100" s="27">
        <v>-4570</v>
      </c>
      <c r="D100" s="27">
        <v>-2976</v>
      </c>
      <c r="E100" s="27">
        <v>-3566</v>
      </c>
      <c r="F100" s="27">
        <v>-4268</v>
      </c>
      <c r="G100" s="27">
        <v>-3888</v>
      </c>
      <c r="H100" s="87">
        <v>-3435</v>
      </c>
      <c r="I100" s="87">
        <v>-3395</v>
      </c>
      <c r="J100" s="27">
        <v>-2578</v>
      </c>
      <c r="K100" s="27"/>
      <c r="L100" s="27"/>
      <c r="M100" s="20"/>
    </row>
    <row r="101" spans="1:19" outlineLevel="1" x14ac:dyDescent="0.2">
      <c r="B101" s="9" t="s">
        <v>42</v>
      </c>
      <c r="C101" s="27">
        <v>-876</v>
      </c>
      <c r="D101" s="27">
        <v>-4427</v>
      </c>
      <c r="E101" s="27">
        <v>-616</v>
      </c>
      <c r="F101" s="27">
        <v>-2790</v>
      </c>
      <c r="G101" s="27">
        <v>-3504</v>
      </c>
      <c r="H101" s="87">
        <v>-1767</v>
      </c>
      <c r="I101" s="87">
        <v>-3271</v>
      </c>
      <c r="J101" s="27">
        <v>-2559</v>
      </c>
      <c r="K101" s="27"/>
      <c r="L101" s="27"/>
      <c r="M101" s="20"/>
    </row>
    <row r="102" spans="1:19" outlineLevel="1" x14ac:dyDescent="0.2">
      <c r="B102" s="9" t="s">
        <v>239</v>
      </c>
      <c r="C102" s="27">
        <v>0</v>
      </c>
      <c r="D102" s="27">
        <v>0</v>
      </c>
      <c r="E102" s="27">
        <v>0</v>
      </c>
      <c r="F102" s="27">
        <v>0</v>
      </c>
      <c r="G102" s="27">
        <v>0</v>
      </c>
      <c r="H102" s="87">
        <v>0</v>
      </c>
      <c r="I102" s="87">
        <v>0</v>
      </c>
      <c r="J102" s="27">
        <v>15709</v>
      </c>
      <c r="K102" s="27"/>
      <c r="L102" s="27"/>
      <c r="M102" s="20"/>
    </row>
    <row r="103" spans="1:19" s="18" customFormat="1" outlineLevel="1" x14ac:dyDescent="0.2">
      <c r="A103" s="7"/>
      <c r="B103" s="17" t="s">
        <v>43</v>
      </c>
      <c r="C103" s="53">
        <v>-5446</v>
      </c>
      <c r="D103" s="53">
        <v>-7403</v>
      </c>
      <c r="E103" s="53">
        <v>-4182</v>
      </c>
      <c r="F103" s="53">
        <v>-7058</v>
      </c>
      <c r="G103" s="53">
        <v>-7392</v>
      </c>
      <c r="H103" s="136">
        <v>-5202</v>
      </c>
      <c r="I103" s="136">
        <v>-6666</v>
      </c>
      <c r="J103" s="53">
        <v>-142619</v>
      </c>
      <c r="K103" s="33"/>
      <c r="L103" s="33"/>
      <c r="M103" s="21"/>
      <c r="O103" s="7"/>
      <c r="S103" s="7"/>
    </row>
    <row r="104" spans="1:19" outlineLevel="1" x14ac:dyDescent="0.2">
      <c r="B104" s="9" t="s">
        <v>103</v>
      </c>
      <c r="C104" s="27">
        <v>0</v>
      </c>
      <c r="D104" s="27">
        <v>0</v>
      </c>
      <c r="E104" s="27">
        <v>0</v>
      </c>
      <c r="F104" s="27">
        <v>0</v>
      </c>
      <c r="G104" s="27">
        <v>0</v>
      </c>
      <c r="H104" s="87">
        <v>0</v>
      </c>
      <c r="I104" s="87">
        <v>0</v>
      </c>
      <c r="J104" s="27">
        <v>0</v>
      </c>
      <c r="K104" s="27"/>
      <c r="L104" s="27"/>
      <c r="M104" s="20"/>
    </row>
    <row r="105" spans="1:19" outlineLevel="1" x14ac:dyDescent="0.2">
      <c r="B105" s="9" t="s">
        <v>162</v>
      </c>
      <c r="C105" s="27">
        <v>347</v>
      </c>
      <c r="D105" s="27">
        <v>219</v>
      </c>
      <c r="E105" s="27">
        <v>17</v>
      </c>
      <c r="F105" s="27">
        <v>429</v>
      </c>
      <c r="G105" s="27">
        <v>128</v>
      </c>
      <c r="H105" s="87">
        <v>114</v>
      </c>
      <c r="I105" s="87">
        <v>838</v>
      </c>
      <c r="J105" s="27">
        <v>374</v>
      </c>
      <c r="K105" s="27"/>
      <c r="L105" s="27"/>
      <c r="M105" s="20"/>
    </row>
    <row r="106" spans="1:19" outlineLevel="1" x14ac:dyDescent="0.2">
      <c r="B106" s="9" t="s">
        <v>149</v>
      </c>
      <c r="C106" s="27">
        <v>0</v>
      </c>
      <c r="D106" s="27">
        <v>0</v>
      </c>
      <c r="E106" s="27">
        <v>0</v>
      </c>
      <c r="F106" s="27">
        <v>0</v>
      </c>
      <c r="G106" s="27">
        <v>0</v>
      </c>
      <c r="H106" s="87">
        <v>0</v>
      </c>
      <c r="I106" s="87">
        <v>0</v>
      </c>
      <c r="J106" s="27">
        <v>0</v>
      </c>
      <c r="K106" s="27"/>
      <c r="L106" s="27"/>
      <c r="M106" s="20"/>
    </row>
    <row r="107" spans="1:19" outlineLevel="1" x14ac:dyDescent="0.2">
      <c r="B107" s="9" t="s">
        <v>163</v>
      </c>
      <c r="C107" s="27">
        <v>0</v>
      </c>
      <c r="D107" s="27">
        <v>0</v>
      </c>
      <c r="E107" s="27">
        <v>0</v>
      </c>
      <c r="F107" s="27">
        <v>0</v>
      </c>
      <c r="G107" s="27">
        <v>0</v>
      </c>
      <c r="H107" s="87">
        <v>0</v>
      </c>
      <c r="I107" s="87">
        <v>0</v>
      </c>
      <c r="J107" s="27">
        <v>0</v>
      </c>
      <c r="K107" s="27"/>
      <c r="L107" s="27"/>
      <c r="M107" s="20"/>
    </row>
    <row r="108" spans="1:19" outlineLevel="1" x14ac:dyDescent="0.2">
      <c r="B108" s="9" t="s">
        <v>150</v>
      </c>
      <c r="C108" s="27">
        <v>913</v>
      </c>
      <c r="D108" s="27">
        <v>690</v>
      </c>
      <c r="E108" s="27">
        <v>840</v>
      </c>
      <c r="F108" s="27">
        <v>475</v>
      </c>
      <c r="G108" s="27">
        <v>768</v>
      </c>
      <c r="H108" s="87">
        <v>575</v>
      </c>
      <c r="I108" s="87">
        <v>632</v>
      </c>
      <c r="J108" s="27">
        <v>396</v>
      </c>
      <c r="K108" s="27"/>
      <c r="L108" s="27"/>
      <c r="M108" s="20"/>
    </row>
    <row r="109" spans="1:19" outlineLevel="1" x14ac:dyDescent="0.2">
      <c r="B109" s="9" t="s">
        <v>164</v>
      </c>
      <c r="C109" s="27">
        <v>0</v>
      </c>
      <c r="D109" s="27">
        <v>0</v>
      </c>
      <c r="E109" s="27">
        <v>0</v>
      </c>
      <c r="F109" s="27">
        <v>0</v>
      </c>
      <c r="G109" s="27">
        <v>0</v>
      </c>
      <c r="H109" s="87">
        <v>0</v>
      </c>
      <c r="I109" s="87">
        <v>0</v>
      </c>
      <c r="J109" s="27">
        <v>0</v>
      </c>
      <c r="K109" s="27"/>
      <c r="L109" s="27"/>
      <c r="M109" s="20"/>
    </row>
    <row r="110" spans="1:19" outlineLevel="1" x14ac:dyDescent="0.2">
      <c r="B110" s="9" t="s">
        <v>151</v>
      </c>
      <c r="C110" s="27">
        <v>-1280</v>
      </c>
      <c r="D110" s="27">
        <v>-1995</v>
      </c>
      <c r="E110" s="27">
        <v>-1895</v>
      </c>
      <c r="F110" s="27">
        <v>-2641</v>
      </c>
      <c r="G110" s="27">
        <v>-1376</v>
      </c>
      <c r="H110" s="87">
        <v>-2510</v>
      </c>
      <c r="I110" s="87">
        <v>-1783</v>
      </c>
      <c r="J110" s="27">
        <v>-1156</v>
      </c>
      <c r="K110" s="27"/>
      <c r="L110" s="27"/>
      <c r="M110" s="20"/>
    </row>
    <row r="111" spans="1:19" outlineLevel="1" x14ac:dyDescent="0.2">
      <c r="B111" s="9" t="s">
        <v>152</v>
      </c>
      <c r="C111" s="27">
        <v>0</v>
      </c>
      <c r="D111" s="27">
        <v>0</v>
      </c>
      <c r="E111" s="27">
        <v>0</v>
      </c>
      <c r="F111" s="27">
        <v>0</v>
      </c>
      <c r="G111" s="27">
        <v>0</v>
      </c>
      <c r="H111" s="87">
        <v>0</v>
      </c>
      <c r="I111" s="87">
        <v>0</v>
      </c>
      <c r="J111" s="27">
        <v>0</v>
      </c>
      <c r="K111" s="27"/>
      <c r="L111" s="27"/>
      <c r="M111" s="20"/>
    </row>
    <row r="112" spans="1:19" outlineLevel="1" x14ac:dyDescent="0.2">
      <c r="B112" s="9" t="s">
        <v>153</v>
      </c>
      <c r="C112" s="27">
        <v>-289</v>
      </c>
      <c r="D112" s="27">
        <v>-295</v>
      </c>
      <c r="E112" s="27">
        <v>-304</v>
      </c>
      <c r="F112" s="27">
        <v>-311</v>
      </c>
      <c r="G112" s="27">
        <v>-320</v>
      </c>
      <c r="H112" s="87">
        <v>-328</v>
      </c>
      <c r="I112" s="87">
        <v>-336</v>
      </c>
      <c r="J112" s="27">
        <v>-346</v>
      </c>
      <c r="K112" s="27"/>
      <c r="L112" s="27"/>
      <c r="M112" s="20"/>
    </row>
    <row r="113" spans="1:19" outlineLevel="1" x14ac:dyDescent="0.2">
      <c r="B113" s="9" t="s">
        <v>175</v>
      </c>
      <c r="C113" s="27">
        <v>-152</v>
      </c>
      <c r="D113" s="27">
        <v>0</v>
      </c>
      <c r="E113" s="27">
        <v>0</v>
      </c>
      <c r="F113" s="27">
        <v>0</v>
      </c>
      <c r="G113" s="27">
        <v>-38</v>
      </c>
      <c r="H113" s="87">
        <v>0</v>
      </c>
      <c r="I113" s="87">
        <v>-18</v>
      </c>
      <c r="J113" s="27">
        <v>-3134</v>
      </c>
      <c r="K113" s="27"/>
      <c r="L113" s="27"/>
      <c r="M113" s="20"/>
    </row>
    <row r="114" spans="1:19" outlineLevel="1" x14ac:dyDescent="0.2">
      <c r="B114" s="9" t="s">
        <v>165</v>
      </c>
      <c r="C114" s="27">
        <v>0</v>
      </c>
      <c r="D114" s="27">
        <v>0</v>
      </c>
      <c r="E114" s="27">
        <v>0</v>
      </c>
      <c r="F114" s="27">
        <v>0</v>
      </c>
      <c r="G114" s="27">
        <v>0</v>
      </c>
      <c r="H114" s="87">
        <v>0</v>
      </c>
      <c r="I114" s="87">
        <v>0</v>
      </c>
      <c r="J114" s="27">
        <v>0</v>
      </c>
      <c r="K114" s="27"/>
      <c r="L114" s="27"/>
      <c r="M114" s="20"/>
    </row>
    <row r="115" spans="1:19" outlineLevel="1" x14ac:dyDescent="0.2">
      <c r="B115" s="9" t="s">
        <v>155</v>
      </c>
      <c r="C115" s="27">
        <v>-1364</v>
      </c>
      <c r="D115" s="27">
        <v>0</v>
      </c>
      <c r="E115" s="27">
        <v>-309</v>
      </c>
      <c r="F115" s="27">
        <v>-4581</v>
      </c>
      <c r="G115" s="27">
        <v>0</v>
      </c>
      <c r="H115" s="87">
        <v>0</v>
      </c>
      <c r="I115" s="87">
        <v>0</v>
      </c>
      <c r="J115" s="27">
        <v>0</v>
      </c>
      <c r="K115" s="27"/>
      <c r="L115" s="27"/>
      <c r="M115" s="20"/>
    </row>
    <row r="116" spans="1:19" outlineLevel="1" x14ac:dyDescent="0.2">
      <c r="B116" s="9" t="s">
        <v>166</v>
      </c>
      <c r="C116" s="27">
        <v>0</v>
      </c>
      <c r="D116" s="27">
        <v>0</v>
      </c>
      <c r="E116" s="27">
        <v>0</v>
      </c>
      <c r="F116" s="27">
        <v>0</v>
      </c>
      <c r="G116" s="27">
        <v>0</v>
      </c>
      <c r="H116" s="87">
        <v>0</v>
      </c>
      <c r="I116" s="87">
        <v>0</v>
      </c>
      <c r="J116" s="27">
        <v>0</v>
      </c>
      <c r="K116" s="27"/>
      <c r="L116" s="27"/>
      <c r="M116" s="20"/>
    </row>
    <row r="117" spans="1:19" outlineLevel="1" x14ac:dyDescent="0.2">
      <c r="B117" s="9" t="s">
        <v>156</v>
      </c>
      <c r="C117" s="27">
        <v>0</v>
      </c>
      <c r="D117" s="27">
        <v>0</v>
      </c>
      <c r="E117" s="27">
        <v>0</v>
      </c>
      <c r="F117" s="27">
        <v>0</v>
      </c>
      <c r="G117" s="27">
        <v>0</v>
      </c>
      <c r="H117" s="87">
        <v>0</v>
      </c>
      <c r="I117" s="87">
        <v>0</v>
      </c>
      <c r="J117" s="27">
        <v>0</v>
      </c>
      <c r="K117" s="27"/>
      <c r="L117" s="27"/>
      <c r="M117" s="20"/>
    </row>
    <row r="118" spans="1:19" outlineLevel="1" x14ac:dyDescent="0.2">
      <c r="B118" s="9" t="s">
        <v>240</v>
      </c>
      <c r="C118" s="27">
        <v>0</v>
      </c>
      <c r="D118" s="27">
        <v>0</v>
      </c>
      <c r="E118" s="27">
        <v>0</v>
      </c>
      <c r="F118" s="27">
        <v>0</v>
      </c>
      <c r="G118" s="27">
        <v>0</v>
      </c>
      <c r="H118" s="27">
        <v>0</v>
      </c>
      <c r="I118" s="27">
        <v>0</v>
      </c>
      <c r="J118" s="27">
        <v>110000</v>
      </c>
      <c r="K118" s="27"/>
      <c r="L118" s="27"/>
      <c r="M118" s="20"/>
    </row>
    <row r="119" spans="1:19" outlineLevel="1" x14ac:dyDescent="0.2">
      <c r="B119" s="9" t="s">
        <v>241</v>
      </c>
      <c r="C119" s="27">
        <v>0</v>
      </c>
      <c r="D119" s="27">
        <v>0</v>
      </c>
      <c r="E119" s="27">
        <v>0</v>
      </c>
      <c r="F119" s="27">
        <v>0</v>
      </c>
      <c r="G119" s="27">
        <v>0</v>
      </c>
      <c r="H119" s="27">
        <v>0</v>
      </c>
      <c r="I119" s="27">
        <v>0</v>
      </c>
      <c r="J119" s="27">
        <v>-20000</v>
      </c>
      <c r="K119" s="27"/>
      <c r="L119" s="27"/>
      <c r="M119" s="20"/>
    </row>
    <row r="120" spans="1:19" outlineLevel="1" x14ac:dyDescent="0.2">
      <c r="B120" s="9" t="s">
        <v>242</v>
      </c>
      <c r="C120" s="27">
        <v>0</v>
      </c>
      <c r="D120" s="27">
        <v>0</v>
      </c>
      <c r="E120" s="27">
        <v>0</v>
      </c>
      <c r="F120" s="27">
        <v>0</v>
      </c>
      <c r="G120" s="27">
        <v>0</v>
      </c>
      <c r="H120" s="27">
        <v>0</v>
      </c>
      <c r="I120" s="27">
        <v>0</v>
      </c>
      <c r="J120" s="27">
        <v>-9629</v>
      </c>
      <c r="K120" s="27"/>
      <c r="L120" s="27"/>
      <c r="M120" s="20"/>
    </row>
    <row r="121" spans="1:19" s="18" customFormat="1" outlineLevel="1" x14ac:dyDescent="0.2">
      <c r="A121" s="7"/>
      <c r="B121" s="17" t="s">
        <v>44</v>
      </c>
      <c r="C121" s="53">
        <v>-1825</v>
      </c>
      <c r="D121" s="53">
        <v>-1381</v>
      </c>
      <c r="E121" s="53">
        <v>-1651</v>
      </c>
      <c r="F121" s="53">
        <v>-6629</v>
      </c>
      <c r="G121" s="53">
        <v>-838</v>
      </c>
      <c r="H121" s="53">
        <v>-2149</v>
      </c>
      <c r="I121" s="53">
        <v>-667</v>
      </c>
      <c r="J121" s="62">
        <v>76505</v>
      </c>
      <c r="K121" s="33"/>
      <c r="L121" s="33"/>
      <c r="M121" s="21"/>
      <c r="O121" s="7"/>
      <c r="S121" s="7"/>
    </row>
    <row r="122" spans="1:19" s="7" customFormat="1" outlineLevel="1" x14ac:dyDescent="0.2">
      <c r="B122" s="12" t="s">
        <v>157</v>
      </c>
      <c r="C122" s="27">
        <v>-1</v>
      </c>
      <c r="D122" s="27">
        <v>-6</v>
      </c>
      <c r="E122" s="27">
        <v>-10</v>
      </c>
      <c r="F122" s="27">
        <v>-89</v>
      </c>
      <c r="G122" s="27">
        <v>31</v>
      </c>
      <c r="H122" s="27">
        <v>-89</v>
      </c>
      <c r="I122" s="27">
        <v>-29</v>
      </c>
      <c r="J122" s="39">
        <v>-89</v>
      </c>
      <c r="K122" s="33"/>
      <c r="L122" s="33"/>
      <c r="M122" s="21"/>
    </row>
    <row r="123" spans="1:19" s="7" customFormat="1" outlineLevel="1" x14ac:dyDescent="0.2">
      <c r="B123" s="11" t="s">
        <v>45</v>
      </c>
      <c r="C123" s="57">
        <v>-7993</v>
      </c>
      <c r="D123" s="57">
        <v>2271</v>
      </c>
      <c r="E123" s="57">
        <v>-58</v>
      </c>
      <c r="F123" s="57">
        <v>2480</v>
      </c>
      <c r="G123" s="57">
        <v>6651</v>
      </c>
      <c r="H123" s="57">
        <v>7395</v>
      </c>
      <c r="I123" s="57">
        <v>8105</v>
      </c>
      <c r="J123" s="85">
        <v>-32541</v>
      </c>
      <c r="K123" s="33"/>
      <c r="L123" s="33"/>
      <c r="M123" s="21"/>
    </row>
    <row r="124" spans="1:19" s="7" customFormat="1" outlineLevel="1" x14ac:dyDescent="0.2">
      <c r="B124" s="11" t="s">
        <v>46</v>
      </c>
      <c r="C124" s="57">
        <v>87520</v>
      </c>
      <c r="D124" s="57">
        <v>79527</v>
      </c>
      <c r="E124" s="57">
        <v>81798</v>
      </c>
      <c r="F124" s="57">
        <v>81740</v>
      </c>
      <c r="G124" s="57">
        <v>84220</v>
      </c>
      <c r="H124" s="57">
        <v>90871</v>
      </c>
      <c r="I124" s="57">
        <v>98266</v>
      </c>
      <c r="J124" s="85">
        <v>106371</v>
      </c>
      <c r="K124" s="21"/>
      <c r="L124" s="21"/>
      <c r="M124" s="21"/>
    </row>
    <row r="125" spans="1:19" s="13" customFormat="1" ht="17" outlineLevel="1" thickBot="1" x14ac:dyDescent="0.25">
      <c r="A125" s="7"/>
      <c r="B125" s="19" t="s">
        <v>47</v>
      </c>
      <c r="C125" s="60">
        <v>79527</v>
      </c>
      <c r="D125" s="60">
        <v>81798</v>
      </c>
      <c r="E125" s="60">
        <v>81740</v>
      </c>
      <c r="F125" s="60">
        <v>84220</v>
      </c>
      <c r="G125" s="60">
        <v>90871</v>
      </c>
      <c r="H125" s="60">
        <v>98266</v>
      </c>
      <c r="I125" s="60">
        <v>106371</v>
      </c>
      <c r="J125" s="86">
        <v>73830</v>
      </c>
      <c r="K125" s="21"/>
      <c r="L125" s="21"/>
      <c r="M125" s="21"/>
      <c r="O125" s="7"/>
      <c r="S125" s="7"/>
    </row>
    <row r="126" spans="1:19" x14ac:dyDescent="0.2">
      <c r="B126" s="1"/>
    </row>
    <row r="127" spans="1:19" s="14" customFormat="1" ht="17" thickBot="1" x14ac:dyDescent="0.25">
      <c r="A127" s="4"/>
      <c r="B127" s="15" t="s">
        <v>48</v>
      </c>
      <c r="K127" s="4"/>
      <c r="L127" s="4"/>
      <c r="M127" s="4"/>
      <c r="O127" s="4"/>
      <c r="S127" s="4"/>
    </row>
    <row r="128" spans="1:19" hidden="1" outlineLevel="2" x14ac:dyDescent="0.2">
      <c r="B128" s="9" t="s">
        <v>49</v>
      </c>
      <c r="C128" s="20">
        <f t="shared" ref="C128:I128" si="14">C5-C6-C13+C15+C16+C17+C18+C20</f>
        <v>-19722</v>
      </c>
      <c r="D128" s="20">
        <f t="shared" si="14"/>
        <v>-18012</v>
      </c>
      <c r="E128" s="20">
        <f t="shared" si="14"/>
        <v>-14403</v>
      </c>
      <c r="F128" s="20">
        <f t="shared" si="14"/>
        <v>-6390</v>
      </c>
      <c r="G128" s="20">
        <f t="shared" si="14"/>
        <v>-3914</v>
      </c>
      <c r="H128" s="20">
        <f t="shared" si="14"/>
        <v>654</v>
      </c>
      <c r="I128" s="20">
        <f t="shared" si="14"/>
        <v>4271</v>
      </c>
      <c r="J128" s="20">
        <f>J5-J6-J13+J15+J16+J17+J18+J20</f>
        <v>1295</v>
      </c>
      <c r="K128" s="20"/>
      <c r="L128" s="20"/>
      <c r="M128" s="20"/>
    </row>
    <row r="129" spans="1:19" s="18" customFormat="1" outlineLevel="1" collapsed="1" x14ac:dyDescent="0.2">
      <c r="A129" s="7"/>
      <c r="B129" s="17" t="s">
        <v>50</v>
      </c>
      <c r="C129" s="24">
        <f t="shared" ref="C129:J129" si="15">C21-C128</f>
        <v>0</v>
      </c>
      <c r="D129" s="24">
        <f t="shared" si="15"/>
        <v>0</v>
      </c>
      <c r="E129" s="24">
        <f t="shared" si="15"/>
        <v>0</v>
      </c>
      <c r="F129" s="24">
        <f t="shared" si="15"/>
        <v>0</v>
      </c>
      <c r="G129" s="24">
        <f t="shared" si="15"/>
        <v>0</v>
      </c>
      <c r="H129" s="24">
        <f t="shared" si="15"/>
        <v>0</v>
      </c>
      <c r="I129" s="24">
        <f t="shared" si="15"/>
        <v>0</v>
      </c>
      <c r="J129" s="24">
        <f t="shared" si="15"/>
        <v>0</v>
      </c>
      <c r="K129" s="26"/>
      <c r="L129" s="26"/>
      <c r="M129" s="26"/>
      <c r="O129" s="7"/>
      <c r="S129" s="7"/>
    </row>
    <row r="130" spans="1:19" hidden="1" outlineLevel="2" x14ac:dyDescent="0.2">
      <c r="B130" s="9" t="s">
        <v>51</v>
      </c>
      <c r="C130" s="20">
        <f t="shared" ref="C130:I130" si="16">SUM(C28:C35)+SUM(C37:C46)</f>
        <v>0</v>
      </c>
      <c r="D130" s="20">
        <f t="shared" si="16"/>
        <v>0</v>
      </c>
      <c r="E130" s="20">
        <f t="shared" si="16"/>
        <v>0</v>
      </c>
      <c r="F130" s="20">
        <f t="shared" si="16"/>
        <v>0</v>
      </c>
      <c r="G130" s="20">
        <f t="shared" si="16"/>
        <v>400395</v>
      </c>
      <c r="H130" s="20">
        <f t="shared" si="16"/>
        <v>408629</v>
      </c>
      <c r="I130" s="20">
        <f t="shared" si="16"/>
        <v>423472</v>
      </c>
      <c r="J130" s="20">
        <f>SUM(J28:J35)+SUM(J37:J46)</f>
        <v>663790</v>
      </c>
      <c r="K130" s="20"/>
      <c r="L130" s="20"/>
      <c r="M130" s="20"/>
    </row>
    <row r="131" spans="1:19" s="7" customFormat="1" outlineLevel="1" collapsed="1" x14ac:dyDescent="0.2">
      <c r="B131" s="11" t="s">
        <v>52</v>
      </c>
      <c r="C131" s="23">
        <f t="shared" ref="C131:I131" si="17">C48-C130</f>
        <v>0</v>
      </c>
      <c r="D131" s="23">
        <f t="shared" si="17"/>
        <v>0</v>
      </c>
      <c r="E131" s="23">
        <f t="shared" si="17"/>
        <v>0</v>
      </c>
      <c r="F131" s="23">
        <f t="shared" si="17"/>
        <v>0</v>
      </c>
      <c r="G131" s="23">
        <f t="shared" si="17"/>
        <v>0</v>
      </c>
      <c r="H131" s="23">
        <f t="shared" si="17"/>
        <v>0</v>
      </c>
      <c r="I131" s="23">
        <f t="shared" si="17"/>
        <v>0</v>
      </c>
      <c r="J131" s="23">
        <f t="shared" ref="J131" si="18">J48-J130</f>
        <v>0</v>
      </c>
      <c r="K131" s="26"/>
      <c r="L131" s="26"/>
      <c r="M131" s="26"/>
    </row>
    <row r="132" spans="1:19" hidden="1" outlineLevel="2" x14ac:dyDescent="0.2">
      <c r="B132" s="9" t="s">
        <v>53</v>
      </c>
      <c r="C132" s="20">
        <f t="shared" ref="C132:I132" si="19">SUM(C49:C56)+SUM(C58:C63)</f>
        <v>0</v>
      </c>
      <c r="D132" s="20">
        <f t="shared" si="19"/>
        <v>0</v>
      </c>
      <c r="E132" s="20">
        <f t="shared" si="19"/>
        <v>0</v>
      </c>
      <c r="F132" s="20">
        <f t="shared" si="19"/>
        <v>0</v>
      </c>
      <c r="G132" s="20">
        <f t="shared" si="19"/>
        <v>118209</v>
      </c>
      <c r="H132" s="20">
        <f t="shared" si="19"/>
        <v>110642</v>
      </c>
      <c r="I132" s="20">
        <f t="shared" si="19"/>
        <v>103143</v>
      </c>
      <c r="J132" s="20">
        <f t="shared" ref="J132" si="20">SUM(J49:J56)+SUM(J58:J63)</f>
        <v>326583</v>
      </c>
      <c r="K132" s="20"/>
      <c r="L132" s="20"/>
      <c r="M132" s="20"/>
    </row>
    <row r="133" spans="1:19" s="7" customFormat="1" outlineLevel="1" collapsed="1" x14ac:dyDescent="0.2">
      <c r="B133" s="11" t="s">
        <v>54</v>
      </c>
      <c r="C133" s="23">
        <f t="shared" ref="C133:I133" si="21">C65-C132</f>
        <v>0</v>
      </c>
      <c r="D133" s="23">
        <f t="shared" si="21"/>
        <v>0</v>
      </c>
      <c r="E133" s="23">
        <f t="shared" si="21"/>
        <v>0</v>
      </c>
      <c r="F133" s="23">
        <f t="shared" si="21"/>
        <v>0</v>
      </c>
      <c r="G133" s="23">
        <f t="shared" si="21"/>
        <v>0</v>
      </c>
      <c r="H133" s="23">
        <f t="shared" si="21"/>
        <v>0</v>
      </c>
      <c r="I133" s="23">
        <f t="shared" si="21"/>
        <v>0</v>
      </c>
      <c r="J133" s="23">
        <f t="shared" ref="J133" si="22">J65-J132</f>
        <v>0</v>
      </c>
      <c r="K133" s="26"/>
      <c r="L133" s="26"/>
      <c r="M133" s="26"/>
    </row>
    <row r="134" spans="1:19" hidden="1" outlineLevel="2" x14ac:dyDescent="0.2">
      <c r="B134" s="9" t="s">
        <v>55</v>
      </c>
      <c r="C134" s="20">
        <f t="shared" ref="C134:I134" si="23">SUM(C66:C71)</f>
        <v>0</v>
      </c>
      <c r="D134" s="20">
        <f t="shared" si="23"/>
        <v>0</v>
      </c>
      <c r="E134" s="20">
        <f t="shared" si="23"/>
        <v>0</v>
      </c>
      <c r="F134" s="20">
        <f t="shared" si="23"/>
        <v>0</v>
      </c>
      <c r="G134" s="20">
        <f t="shared" si="23"/>
        <v>282186</v>
      </c>
      <c r="H134" s="20">
        <f t="shared" si="23"/>
        <v>297987</v>
      </c>
      <c r="I134" s="20">
        <f t="shared" si="23"/>
        <v>320329</v>
      </c>
      <c r="J134" s="20">
        <f t="shared" ref="J134" si="24">SUM(J66:J71)</f>
        <v>337207</v>
      </c>
      <c r="K134" s="20"/>
      <c r="L134" s="20"/>
      <c r="M134" s="20"/>
    </row>
    <row r="135" spans="1:19" s="7" customFormat="1" outlineLevel="1" collapsed="1" x14ac:dyDescent="0.2">
      <c r="B135" s="11" t="s">
        <v>56</v>
      </c>
      <c r="C135" s="23">
        <f t="shared" ref="C135:I135" si="25">C72-C134</f>
        <v>0</v>
      </c>
      <c r="D135" s="23">
        <f t="shared" si="25"/>
        <v>0</v>
      </c>
      <c r="E135" s="23">
        <f t="shared" si="25"/>
        <v>0</v>
      </c>
      <c r="F135" s="23">
        <f t="shared" si="25"/>
        <v>0</v>
      </c>
      <c r="G135" s="23">
        <f t="shared" si="25"/>
        <v>0</v>
      </c>
      <c r="H135" s="23">
        <f t="shared" si="25"/>
        <v>0</v>
      </c>
      <c r="I135" s="23">
        <f t="shared" si="25"/>
        <v>0</v>
      </c>
      <c r="J135" s="23">
        <f t="shared" ref="J135" si="26">J72-J134</f>
        <v>0</v>
      </c>
      <c r="K135" s="26"/>
      <c r="L135" s="26"/>
      <c r="M135" s="26"/>
    </row>
    <row r="136" spans="1:19" s="18" customFormat="1" outlineLevel="1" x14ac:dyDescent="0.2">
      <c r="A136" s="7"/>
      <c r="B136" s="17" t="s">
        <v>66</v>
      </c>
      <c r="C136" s="22">
        <f t="shared" ref="C136:I136" si="27">C48-(C65+C72)</f>
        <v>0</v>
      </c>
      <c r="D136" s="22">
        <f t="shared" si="27"/>
        <v>0</v>
      </c>
      <c r="E136" s="22">
        <f t="shared" si="27"/>
        <v>0</v>
      </c>
      <c r="F136" s="22">
        <f t="shared" si="27"/>
        <v>0</v>
      </c>
      <c r="G136" s="22">
        <f t="shared" si="27"/>
        <v>0</v>
      </c>
      <c r="H136" s="22">
        <f t="shared" si="27"/>
        <v>0</v>
      </c>
      <c r="I136" s="22">
        <f t="shared" si="27"/>
        <v>0</v>
      </c>
      <c r="J136" s="22">
        <f t="shared" ref="J136" si="28">J48-(J65+J72)</f>
        <v>0</v>
      </c>
      <c r="K136" s="26"/>
      <c r="L136" s="26"/>
      <c r="M136" s="26"/>
      <c r="O136" s="7"/>
      <c r="S136" s="7"/>
    </row>
    <row r="137" spans="1:19" hidden="1" outlineLevel="2" x14ac:dyDescent="0.2">
      <c r="B137" s="9" t="s">
        <v>57</v>
      </c>
      <c r="C137" s="20">
        <f t="shared" ref="C137:I137" si="29">SUM(C76:C97)</f>
        <v>-721</v>
      </c>
      <c r="D137" s="20">
        <f t="shared" si="29"/>
        <v>11061</v>
      </c>
      <c r="E137" s="20">
        <f t="shared" si="29"/>
        <v>5785</v>
      </c>
      <c r="F137" s="20">
        <f t="shared" si="29"/>
        <v>16256</v>
      </c>
      <c r="G137" s="20">
        <f t="shared" si="29"/>
        <v>14850</v>
      </c>
      <c r="H137" s="20">
        <f t="shared" si="29"/>
        <v>14835</v>
      </c>
      <c r="I137" s="20">
        <f t="shared" si="29"/>
        <v>15467</v>
      </c>
      <c r="J137" s="20">
        <f t="shared" ref="J137" si="30">SUM(J76:J97)</f>
        <v>33662</v>
      </c>
      <c r="K137" s="20"/>
      <c r="L137" s="20"/>
      <c r="M137" s="20"/>
    </row>
    <row r="138" spans="1:19" s="7" customFormat="1" outlineLevel="1" collapsed="1" x14ac:dyDescent="0.2">
      <c r="B138" s="11" t="s">
        <v>58</v>
      </c>
      <c r="C138" s="23">
        <f t="shared" ref="C138:I138" si="31">C98-C137</f>
        <v>0</v>
      </c>
      <c r="D138" s="23">
        <f t="shared" si="31"/>
        <v>0</v>
      </c>
      <c r="E138" s="23">
        <f t="shared" si="31"/>
        <v>0</v>
      </c>
      <c r="F138" s="23">
        <f t="shared" si="31"/>
        <v>0</v>
      </c>
      <c r="G138" s="23">
        <f t="shared" si="31"/>
        <v>0</v>
      </c>
      <c r="H138" s="23">
        <f t="shared" si="31"/>
        <v>0</v>
      </c>
      <c r="I138" s="23">
        <f t="shared" si="31"/>
        <v>0</v>
      </c>
      <c r="J138" s="23">
        <f t="shared" ref="J138" si="32">J98-J137</f>
        <v>0</v>
      </c>
      <c r="K138" s="26"/>
      <c r="L138" s="26"/>
      <c r="M138" s="26"/>
    </row>
    <row r="139" spans="1:19" hidden="1" outlineLevel="2" x14ac:dyDescent="0.2">
      <c r="B139" s="9" t="s">
        <v>59</v>
      </c>
      <c r="C139" s="20">
        <f t="shared" ref="C139:I139" si="33">SUM(C99:C102)</f>
        <v>-5446</v>
      </c>
      <c r="D139" s="20">
        <f t="shared" si="33"/>
        <v>-7403</v>
      </c>
      <c r="E139" s="20">
        <f t="shared" si="33"/>
        <v>-4182</v>
      </c>
      <c r="F139" s="20">
        <f t="shared" si="33"/>
        <v>-7058</v>
      </c>
      <c r="G139" s="20">
        <f t="shared" si="33"/>
        <v>-7392</v>
      </c>
      <c r="H139" s="20">
        <f t="shared" si="33"/>
        <v>-5202</v>
      </c>
      <c r="I139" s="20">
        <f t="shared" si="33"/>
        <v>-6666</v>
      </c>
      <c r="J139" s="20">
        <f>SUM(J99:J102)</f>
        <v>-142619</v>
      </c>
      <c r="K139" s="20"/>
      <c r="L139" s="20"/>
      <c r="M139" s="20"/>
    </row>
    <row r="140" spans="1:19" s="7" customFormat="1" outlineLevel="1" collapsed="1" x14ac:dyDescent="0.2">
      <c r="B140" s="11" t="s">
        <v>60</v>
      </c>
      <c r="C140" s="23">
        <f t="shared" ref="C140:I140" si="34">C103-C139</f>
        <v>0</v>
      </c>
      <c r="D140" s="23">
        <f t="shared" si="34"/>
        <v>0</v>
      </c>
      <c r="E140" s="23">
        <f t="shared" si="34"/>
        <v>0</v>
      </c>
      <c r="F140" s="23">
        <f t="shared" si="34"/>
        <v>0</v>
      </c>
      <c r="G140" s="23">
        <f t="shared" si="34"/>
        <v>0</v>
      </c>
      <c r="H140" s="23">
        <f t="shared" si="34"/>
        <v>0</v>
      </c>
      <c r="I140" s="23">
        <f t="shared" si="34"/>
        <v>0</v>
      </c>
      <c r="J140" s="23">
        <f t="shared" ref="J140" si="35">J103-J139</f>
        <v>0</v>
      </c>
      <c r="K140" s="26"/>
      <c r="L140" s="26"/>
      <c r="M140" s="26"/>
    </row>
    <row r="141" spans="1:19" hidden="1" outlineLevel="2" x14ac:dyDescent="0.2">
      <c r="B141" s="9" t="s">
        <v>61</v>
      </c>
      <c r="C141" s="20">
        <f t="shared" ref="C141:I141" si="36">SUM(C104:C120)</f>
        <v>-1825</v>
      </c>
      <c r="D141" s="20">
        <f t="shared" si="36"/>
        <v>-1381</v>
      </c>
      <c r="E141" s="20">
        <f t="shared" si="36"/>
        <v>-1651</v>
      </c>
      <c r="F141" s="20">
        <f t="shared" si="36"/>
        <v>-6629</v>
      </c>
      <c r="G141" s="20">
        <f t="shared" si="36"/>
        <v>-838</v>
      </c>
      <c r="H141" s="20">
        <f t="shared" si="36"/>
        <v>-2149</v>
      </c>
      <c r="I141" s="20">
        <f t="shared" si="36"/>
        <v>-667</v>
      </c>
      <c r="J141" s="20">
        <f>SUM(J104:J120)</f>
        <v>76505</v>
      </c>
      <c r="K141" s="20"/>
      <c r="L141" s="20"/>
      <c r="M141" s="20"/>
    </row>
    <row r="142" spans="1:19" s="7" customFormat="1" outlineLevel="1" collapsed="1" x14ac:dyDescent="0.2">
      <c r="B142" s="11" t="s">
        <v>62</v>
      </c>
      <c r="C142" s="23">
        <f t="shared" ref="C142:I142" si="37">C121-C141</f>
        <v>0</v>
      </c>
      <c r="D142" s="23">
        <f t="shared" si="37"/>
        <v>0</v>
      </c>
      <c r="E142" s="23">
        <f t="shared" si="37"/>
        <v>0</v>
      </c>
      <c r="F142" s="23">
        <f t="shared" si="37"/>
        <v>0</v>
      </c>
      <c r="G142" s="23">
        <f t="shared" si="37"/>
        <v>0</v>
      </c>
      <c r="H142" s="23">
        <f t="shared" si="37"/>
        <v>0</v>
      </c>
      <c r="I142" s="23">
        <f t="shared" si="37"/>
        <v>0</v>
      </c>
      <c r="J142" s="23">
        <f t="shared" ref="J142" si="38">J121-J141</f>
        <v>0</v>
      </c>
      <c r="K142" s="26"/>
      <c r="L142" s="26"/>
      <c r="M142" s="26"/>
    </row>
    <row r="143" spans="1:19" hidden="1" outlineLevel="2" x14ac:dyDescent="0.2">
      <c r="B143" s="9" t="s">
        <v>64</v>
      </c>
      <c r="C143" s="20">
        <f t="shared" ref="C143:H143" si="39">C98+C103+C121+C124+C122</f>
        <v>79527</v>
      </c>
      <c r="D143" s="20">
        <f t="shared" si="39"/>
        <v>81798</v>
      </c>
      <c r="E143" s="20">
        <f t="shared" si="39"/>
        <v>81740</v>
      </c>
      <c r="F143" s="20">
        <f t="shared" si="39"/>
        <v>84220</v>
      </c>
      <c r="G143" s="20">
        <f t="shared" si="39"/>
        <v>90871</v>
      </c>
      <c r="H143" s="20">
        <f t="shared" si="39"/>
        <v>98266</v>
      </c>
      <c r="I143" s="20">
        <f>I98+I103+I121+I124+I122</f>
        <v>106371</v>
      </c>
      <c r="J143" s="20">
        <f>J98+J103+J121+J124+J122</f>
        <v>73830</v>
      </c>
      <c r="K143" s="20"/>
      <c r="L143" s="20"/>
      <c r="M143" s="20"/>
    </row>
    <row r="144" spans="1:19" s="18" customFormat="1" outlineLevel="1" collapsed="1" x14ac:dyDescent="0.2">
      <c r="A144" s="7"/>
      <c r="B144" s="17" t="s">
        <v>63</v>
      </c>
      <c r="C144" s="22">
        <f t="shared" ref="C144:I144" si="40">C125-C143</f>
        <v>0</v>
      </c>
      <c r="D144" s="22">
        <f t="shared" si="40"/>
        <v>0</v>
      </c>
      <c r="E144" s="22">
        <f t="shared" si="40"/>
        <v>0</v>
      </c>
      <c r="F144" s="22">
        <f t="shared" si="40"/>
        <v>0</v>
      </c>
      <c r="G144" s="22">
        <f t="shared" si="40"/>
        <v>0</v>
      </c>
      <c r="H144" s="22">
        <f t="shared" si="40"/>
        <v>0</v>
      </c>
      <c r="I144" s="22">
        <f t="shared" si="40"/>
        <v>0</v>
      </c>
      <c r="J144" s="22">
        <f t="shared" ref="J144" si="41">J125-J143</f>
        <v>0</v>
      </c>
      <c r="K144" s="26"/>
      <c r="L144" s="26"/>
      <c r="M144" s="26"/>
      <c r="O144" s="7"/>
      <c r="S144" s="7"/>
    </row>
    <row r="145" spans="1:19" x14ac:dyDescent="0.2">
      <c r="B145" s="8"/>
      <c r="E145" s="8"/>
      <c r="F145" s="8"/>
      <c r="G145" s="8"/>
      <c r="H145" s="8"/>
      <c r="I145" s="8"/>
      <c r="J145" s="8"/>
      <c r="K145" s="8"/>
      <c r="L145" s="8"/>
      <c r="M145" s="8"/>
    </row>
    <row r="146" spans="1:19" s="14" customFormat="1" ht="17" thickBot="1" x14ac:dyDescent="0.25">
      <c r="A146" s="4"/>
      <c r="B146" s="15" t="s">
        <v>65</v>
      </c>
      <c r="K146" s="4"/>
      <c r="L146" s="4"/>
      <c r="M146" s="4"/>
      <c r="O146" s="4"/>
      <c r="S146" s="4"/>
    </row>
    <row r="147" spans="1:19" outlineLevel="1" x14ac:dyDescent="0.2">
      <c r="B147" s="9" t="s">
        <v>4</v>
      </c>
      <c r="C147" s="27">
        <v>57398</v>
      </c>
      <c r="D147" s="27">
        <v>57773</v>
      </c>
      <c r="E147" s="27">
        <v>58124</v>
      </c>
      <c r="F147" s="27">
        <v>58772</v>
      </c>
      <c r="G147" s="27">
        <v>59504</v>
      </c>
      <c r="H147" s="27">
        <v>59914</v>
      </c>
      <c r="I147" s="27">
        <v>60287</v>
      </c>
      <c r="J147" s="27">
        <v>60763</v>
      </c>
      <c r="K147" s="20"/>
      <c r="L147" s="20"/>
      <c r="M147" s="20"/>
      <c r="N147" s="20">
        <f>J147</f>
        <v>60763</v>
      </c>
    </row>
    <row r="148" spans="1:19" outlineLevel="1" x14ac:dyDescent="0.2">
      <c r="B148" s="12" t="s">
        <v>71</v>
      </c>
      <c r="C148" s="28">
        <v>0</v>
      </c>
      <c r="D148" s="28">
        <v>0</v>
      </c>
      <c r="E148" s="28">
        <v>0</v>
      </c>
      <c r="F148" s="28">
        <v>0</v>
      </c>
      <c r="G148" s="28">
        <v>0</v>
      </c>
      <c r="H148" s="28">
        <v>0</v>
      </c>
      <c r="I148" s="28">
        <v>0</v>
      </c>
      <c r="J148" s="28">
        <v>0</v>
      </c>
      <c r="K148" s="8"/>
      <c r="L148" s="8"/>
      <c r="M148" s="8"/>
    </row>
    <row r="149" spans="1:19" outlineLevel="1" x14ac:dyDescent="0.2">
      <c r="B149" s="9" t="s">
        <v>387</v>
      </c>
      <c r="C149" s="29">
        <v>182</v>
      </c>
      <c r="D149" s="29">
        <v>257</v>
      </c>
      <c r="E149" s="29">
        <v>245</v>
      </c>
      <c r="F149" s="29">
        <v>299</v>
      </c>
      <c r="G149" s="29">
        <v>245</v>
      </c>
      <c r="H149" s="29">
        <v>243</v>
      </c>
      <c r="I149" s="29">
        <v>244</v>
      </c>
      <c r="J149" s="29">
        <v>222</v>
      </c>
      <c r="K149" s="8"/>
      <c r="L149" s="8"/>
      <c r="M149" s="8"/>
      <c r="N149" s="20">
        <f>SUM(G149:J149)</f>
        <v>954</v>
      </c>
    </row>
    <row r="150" spans="1:19" outlineLevel="1" x14ac:dyDescent="0.2">
      <c r="B150" s="12"/>
      <c r="C150" s="28"/>
      <c r="D150" s="28"/>
      <c r="E150" s="28"/>
      <c r="F150" s="28"/>
      <c r="G150" s="28"/>
      <c r="H150" s="28"/>
      <c r="I150" s="28"/>
      <c r="J150" s="28"/>
      <c r="K150" s="8"/>
      <c r="L150" s="8"/>
      <c r="M150" s="8"/>
    </row>
    <row r="151" spans="1:19" x14ac:dyDescent="0.2">
      <c r="B151" s="1"/>
    </row>
    <row r="152" spans="1:19" s="65" customFormat="1" ht="17" thickBot="1" x14ac:dyDescent="0.25">
      <c r="A152" s="1"/>
      <c r="B152" s="15" t="s">
        <v>84</v>
      </c>
      <c r="C152" s="67"/>
      <c r="D152" s="67"/>
      <c r="E152" s="67"/>
      <c r="F152" s="67"/>
      <c r="G152" s="67"/>
      <c r="H152" s="67"/>
      <c r="I152" s="67"/>
      <c r="J152" s="67"/>
      <c r="K152" s="1"/>
      <c r="L152" s="1"/>
      <c r="M152" s="1"/>
      <c r="O152" s="4"/>
      <c r="S152" s="4"/>
    </row>
    <row r="153" spans="1:19" hidden="1" outlineLevel="1" x14ac:dyDescent="0.2">
      <c r="B153" s="9" t="s">
        <v>77</v>
      </c>
      <c r="C153" s="27"/>
      <c r="D153" s="27"/>
      <c r="E153" s="27"/>
      <c r="F153" s="27"/>
      <c r="G153" s="27"/>
      <c r="H153" s="27"/>
      <c r="I153" s="27"/>
      <c r="J153" s="27"/>
    </row>
    <row r="154" spans="1:19" hidden="1" outlineLevel="1" x14ac:dyDescent="0.2">
      <c r="B154" s="9" t="s">
        <v>78</v>
      </c>
      <c r="C154" s="27"/>
      <c r="D154" s="27"/>
      <c r="E154" s="27"/>
      <c r="F154" s="27"/>
      <c r="G154" s="27"/>
      <c r="H154" s="27"/>
      <c r="I154" s="27"/>
      <c r="J154" s="27"/>
    </row>
    <row r="155" spans="1:19" hidden="1" outlineLevel="1" x14ac:dyDescent="0.2">
      <c r="B155" s="9" t="s">
        <v>82</v>
      </c>
      <c r="C155" s="34"/>
      <c r="D155" s="34"/>
      <c r="E155" s="34"/>
      <c r="F155" s="34"/>
      <c r="G155" s="34"/>
      <c r="H155" s="34"/>
      <c r="I155" s="34"/>
      <c r="J155" s="34"/>
    </row>
    <row r="156" spans="1:19" hidden="1" outlineLevel="1" x14ac:dyDescent="0.2">
      <c r="B156" s="9" t="s">
        <v>79</v>
      </c>
      <c r="C156" s="66"/>
      <c r="D156" s="66"/>
      <c r="E156" s="66"/>
      <c r="F156" s="66"/>
      <c r="G156" s="66"/>
      <c r="H156" s="66"/>
      <c r="I156" s="66"/>
      <c r="J156" s="66"/>
    </row>
    <row r="157" spans="1:19" hidden="1" outlineLevel="1" x14ac:dyDescent="0.2">
      <c r="B157" s="9" t="s">
        <v>80</v>
      </c>
      <c r="C157" s="31"/>
      <c r="D157" s="31"/>
      <c r="E157" s="31"/>
      <c r="F157" s="31"/>
      <c r="G157" s="31"/>
      <c r="H157" s="31"/>
      <c r="I157" s="31"/>
      <c r="J157" s="31"/>
    </row>
    <row r="158" spans="1:19" hidden="1" outlineLevel="1" x14ac:dyDescent="0.2">
      <c r="B158" s="9" t="s">
        <v>81</v>
      </c>
      <c r="C158" s="31"/>
      <c r="D158" s="31"/>
      <c r="E158" s="31"/>
      <c r="F158" s="31"/>
      <c r="G158" s="31"/>
      <c r="H158" s="31"/>
      <c r="I158" s="31"/>
      <c r="J158" s="31"/>
    </row>
    <row r="159" spans="1:19" hidden="1" outlineLevel="1" x14ac:dyDescent="0.2">
      <c r="B159" s="9" t="s">
        <v>83</v>
      </c>
      <c r="C159" s="25"/>
      <c r="D159" s="25"/>
      <c r="E159" s="25"/>
      <c r="F159" s="25"/>
      <c r="G159" s="25"/>
      <c r="H159" s="25"/>
      <c r="I159" s="25"/>
      <c r="J159" s="25"/>
      <c r="K159" s="20"/>
      <c r="L159" s="20"/>
      <c r="M159" s="20"/>
    </row>
    <row r="160" spans="1:19" hidden="1" outlineLevel="1" x14ac:dyDescent="0.2">
      <c r="B160" s="12" t="s">
        <v>79</v>
      </c>
      <c r="C160" s="66"/>
      <c r="D160" s="66"/>
      <c r="E160" s="66"/>
      <c r="F160" s="66"/>
      <c r="G160" s="66"/>
      <c r="H160" s="66"/>
      <c r="I160" s="66"/>
      <c r="J160" s="66"/>
      <c r="K160" s="8"/>
      <c r="L160" s="8"/>
      <c r="M160" s="8"/>
    </row>
    <row r="161" spans="1:19" collapsed="1" x14ac:dyDescent="0.2">
      <c r="B161" s="1"/>
    </row>
    <row r="162" spans="1:19" s="14" customFormat="1" ht="17" thickBot="1" x14ac:dyDescent="0.25">
      <c r="A162" s="4"/>
      <c r="B162" s="15" t="s">
        <v>108</v>
      </c>
      <c r="K162" s="8"/>
      <c r="L162" s="8"/>
      <c r="M162" s="8"/>
      <c r="O162" s="1"/>
      <c r="S162" s="1"/>
    </row>
    <row r="163" spans="1:19" x14ac:dyDescent="0.2">
      <c r="B163" s="9" t="s">
        <v>181</v>
      </c>
      <c r="C163" s="27">
        <v>4065</v>
      </c>
      <c r="D163" s="27">
        <v>4169</v>
      </c>
      <c r="E163" s="27">
        <v>4237</v>
      </c>
      <c r="F163" s="27">
        <v>4341</v>
      </c>
      <c r="G163" s="27">
        <v>4411</v>
      </c>
      <c r="H163" s="27">
        <v>4467</v>
      </c>
      <c r="I163" s="27">
        <v>4520</v>
      </c>
      <c r="J163" s="27">
        <v>4658</v>
      </c>
    </row>
    <row r="164" spans="1:19" x14ac:dyDescent="0.2">
      <c r="B164" s="9" t="s">
        <v>185</v>
      </c>
      <c r="C164" s="115">
        <f t="shared" ref="C164:J164" si="42">C172/C163</f>
        <v>11.498646986469865</v>
      </c>
      <c r="D164" s="115">
        <f t="shared" si="42"/>
        <v>11.660350203885823</v>
      </c>
      <c r="E164" s="115">
        <f t="shared" si="42"/>
        <v>11.650460231295728</v>
      </c>
      <c r="F164" s="115">
        <f t="shared" si="42"/>
        <v>11.931121861322277</v>
      </c>
      <c r="G164" s="115">
        <f t="shared" si="42"/>
        <v>12.322602584447971</v>
      </c>
      <c r="H164" s="115">
        <f t="shared" si="42"/>
        <v>12.021938661293934</v>
      </c>
      <c r="I164" s="115">
        <f t="shared" si="42"/>
        <v>12.274336283185841</v>
      </c>
      <c r="J164" s="115">
        <f t="shared" si="42"/>
        <v>12.006011163589523</v>
      </c>
    </row>
    <row r="165" spans="1:19" x14ac:dyDescent="0.2">
      <c r="B165" s="9" t="s">
        <v>182</v>
      </c>
      <c r="C165" s="27">
        <v>1166000</v>
      </c>
      <c r="D165" s="27">
        <v>1093000</v>
      </c>
      <c r="E165" s="27">
        <v>1081000</v>
      </c>
      <c r="F165" s="27">
        <v>1080000</v>
      </c>
      <c r="G165" s="27">
        <v>1314000</v>
      </c>
      <c r="H165" s="27">
        <v>1250000</v>
      </c>
      <c r="I165" s="27">
        <v>1181000</v>
      </c>
      <c r="J165" s="27">
        <v>1128000</v>
      </c>
    </row>
    <row r="166" spans="1:19" x14ac:dyDescent="0.2">
      <c r="B166" s="9" t="s">
        <v>180</v>
      </c>
      <c r="C166" s="101">
        <v>0.81</v>
      </c>
      <c r="D166" s="101">
        <v>0.81</v>
      </c>
      <c r="E166" s="101">
        <v>0.81</v>
      </c>
      <c r="F166" s="101">
        <v>0.82</v>
      </c>
      <c r="G166" s="101">
        <v>0.82</v>
      </c>
      <c r="H166" s="101">
        <v>0.82</v>
      </c>
      <c r="I166" s="101">
        <v>0.85</v>
      </c>
      <c r="J166" s="101">
        <v>0.84</v>
      </c>
    </row>
    <row r="167" spans="1:19" x14ac:dyDescent="0.2">
      <c r="B167" s="9" t="s">
        <v>183</v>
      </c>
      <c r="C167" s="102">
        <v>2.9000000000000001E-2</v>
      </c>
      <c r="D167" s="102">
        <v>2.9000000000000001E-2</v>
      </c>
      <c r="E167" s="102">
        <v>2.8000000000000001E-2</v>
      </c>
      <c r="F167" s="102">
        <v>2.8000000000000001E-2</v>
      </c>
      <c r="G167" s="102">
        <v>2.8000000000000001E-2</v>
      </c>
      <c r="H167" s="102">
        <v>2.8000000000000001E-2</v>
      </c>
      <c r="I167" s="102">
        <v>2.7E-2</v>
      </c>
      <c r="J167" s="138">
        <f>J173/(J165*J166)</f>
        <v>3.7698412698412696E-2</v>
      </c>
    </row>
    <row r="168" spans="1:19" x14ac:dyDescent="0.2">
      <c r="B168" s="9" t="s">
        <v>198</v>
      </c>
      <c r="C168" s="115">
        <f t="shared" ref="C168:J168" si="43">C174/C163</f>
        <v>6.7441574415744157</v>
      </c>
      <c r="D168" s="115">
        <f t="shared" si="43"/>
        <v>6.7649316382825617</v>
      </c>
      <c r="E168" s="115">
        <f t="shared" si="43"/>
        <v>7.7255133349067737</v>
      </c>
      <c r="F168" s="115">
        <f t="shared" si="43"/>
        <v>7.6507717115871916</v>
      </c>
      <c r="G168" s="115">
        <f t="shared" si="43"/>
        <v>7.1766039446837455</v>
      </c>
      <c r="H168" s="115">
        <f t="shared" si="43"/>
        <v>7.8712782628162081</v>
      </c>
      <c r="I168" s="115">
        <f t="shared" si="43"/>
        <v>8.2811946902654867</v>
      </c>
      <c r="J168" s="115">
        <f t="shared" si="43"/>
        <v>7.6047659939888366</v>
      </c>
      <c r="K168" s="21"/>
    </row>
    <row r="169" spans="1:19" x14ac:dyDescent="0.2">
      <c r="C169" s="34"/>
      <c r="D169" s="34"/>
      <c r="E169" s="34"/>
      <c r="F169" s="34"/>
      <c r="G169" s="34"/>
      <c r="H169" s="34"/>
      <c r="I169" s="34"/>
      <c r="J169" s="34"/>
    </row>
    <row r="170" spans="1:19" x14ac:dyDescent="0.2">
      <c r="B170" s="1"/>
    </row>
    <row r="171" spans="1:19" s="14" customFormat="1" ht="17" thickBot="1" x14ac:dyDescent="0.25">
      <c r="A171" s="4"/>
      <c r="B171" s="15" t="s">
        <v>107</v>
      </c>
      <c r="K171" s="8"/>
      <c r="L171" s="8"/>
      <c r="M171" s="8"/>
      <c r="O171" s="1"/>
      <c r="S171" s="93"/>
    </row>
    <row r="172" spans="1:19" x14ac:dyDescent="0.2">
      <c r="B172" s="9" t="s">
        <v>158</v>
      </c>
      <c r="C172" s="27">
        <v>46742</v>
      </c>
      <c r="D172" s="27">
        <v>48612</v>
      </c>
      <c r="E172" s="27">
        <v>49363</v>
      </c>
      <c r="F172" s="27">
        <v>51793</v>
      </c>
      <c r="G172" s="27">
        <v>54355</v>
      </c>
      <c r="H172" s="27">
        <v>53702</v>
      </c>
      <c r="I172" s="27">
        <v>55480</v>
      </c>
      <c r="J172" s="27">
        <v>55924</v>
      </c>
    </row>
    <row r="173" spans="1:19" x14ac:dyDescent="0.2">
      <c r="B173" s="9" t="s">
        <v>251</v>
      </c>
      <c r="C173" s="27">
        <v>27060</v>
      </c>
      <c r="D173" s="27">
        <v>25300</v>
      </c>
      <c r="E173" s="27">
        <v>24704</v>
      </c>
      <c r="F173" s="27">
        <v>24676</v>
      </c>
      <c r="G173" s="27">
        <v>29925</v>
      </c>
      <c r="H173" s="27">
        <v>28392</v>
      </c>
      <c r="I173" s="27">
        <v>27422</v>
      </c>
      <c r="J173" s="27">
        <v>35720</v>
      </c>
    </row>
    <row r="174" spans="1:19" x14ac:dyDescent="0.2">
      <c r="B174" s="9" t="s">
        <v>159</v>
      </c>
      <c r="C174" s="27">
        <v>27415</v>
      </c>
      <c r="D174" s="27">
        <v>28203</v>
      </c>
      <c r="E174" s="27">
        <v>32733</v>
      </c>
      <c r="F174" s="27">
        <v>33212</v>
      </c>
      <c r="G174" s="27">
        <v>31656</v>
      </c>
      <c r="H174" s="27">
        <v>35161</v>
      </c>
      <c r="I174" s="27">
        <v>37431</v>
      </c>
      <c r="J174" s="27">
        <v>35423</v>
      </c>
    </row>
    <row r="175" spans="1:19" x14ac:dyDescent="0.2">
      <c r="C175" s="27"/>
      <c r="D175" s="27"/>
      <c r="E175" s="27"/>
      <c r="F175" s="27"/>
      <c r="G175" s="27"/>
      <c r="H175" s="27"/>
      <c r="I175" s="27"/>
      <c r="J175" s="27"/>
    </row>
    <row r="176" spans="1:19" x14ac:dyDescent="0.2">
      <c r="B176" s="1"/>
    </row>
    <row r="177" spans="1:15" s="14" customFormat="1" ht="17" thickBot="1" x14ac:dyDescent="0.25">
      <c r="A177" s="4"/>
      <c r="B177" s="15" t="s">
        <v>109</v>
      </c>
      <c r="K177" s="1"/>
      <c r="L177" s="1"/>
      <c r="M177" s="1"/>
    </row>
    <row r="178" spans="1:15" x14ac:dyDescent="0.2">
      <c r="C178" s="89"/>
      <c r="D178" s="89"/>
      <c r="E178" s="89"/>
      <c r="F178" s="89"/>
      <c r="G178" s="89"/>
      <c r="H178" s="89"/>
      <c r="I178" s="89"/>
      <c r="J178" s="89"/>
    </row>
    <row r="179" spans="1:15" x14ac:dyDescent="0.2">
      <c r="B179" s="88"/>
      <c r="C179" s="88"/>
      <c r="D179" s="88"/>
      <c r="E179" s="88"/>
      <c r="F179" s="88"/>
      <c r="G179" s="88"/>
      <c r="H179" s="88"/>
      <c r="I179" s="88"/>
      <c r="J179" s="88"/>
    </row>
    <row r="180" spans="1:15" s="14" customFormat="1" ht="17" thickBot="1" x14ac:dyDescent="0.25">
      <c r="A180" s="4"/>
      <c r="B180" s="15" t="s">
        <v>385</v>
      </c>
    </row>
    <row r="181" spans="1:15" x14ac:dyDescent="0.2">
      <c r="B181" s="9" t="s">
        <v>319</v>
      </c>
      <c r="C181" s="197">
        <f>C50+C51+C58+C59</f>
        <v>0</v>
      </c>
      <c r="D181" s="197">
        <f t="shared" ref="D181:J181" si="44">D50+D51+D58+D59</f>
        <v>0</v>
      </c>
      <c r="E181" s="197">
        <f t="shared" si="44"/>
        <v>0</v>
      </c>
      <c r="F181" s="197">
        <f t="shared" si="44"/>
        <v>0</v>
      </c>
      <c r="G181" s="197">
        <f t="shared" si="44"/>
        <v>15868</v>
      </c>
      <c r="H181" s="197">
        <f t="shared" si="44"/>
        <v>12792</v>
      </c>
      <c r="I181" s="197">
        <f t="shared" si="44"/>
        <v>10430</v>
      </c>
      <c r="J181" s="197">
        <f t="shared" si="44"/>
        <v>102449</v>
      </c>
      <c r="K181" s="31"/>
      <c r="L181" s="31"/>
      <c r="M181" s="31"/>
      <c r="N181" s="197">
        <f>J181</f>
        <v>102449</v>
      </c>
      <c r="O181" s="31"/>
    </row>
    <row r="182" spans="1:15" x14ac:dyDescent="0.2">
      <c r="B182" s="9" t="s">
        <v>351</v>
      </c>
      <c r="C182" s="197">
        <f>C28</f>
        <v>0</v>
      </c>
      <c r="D182" s="197">
        <f t="shared" ref="D182:J182" si="45">D28</f>
        <v>0</v>
      </c>
      <c r="E182" s="197">
        <f t="shared" si="45"/>
        <v>0</v>
      </c>
      <c r="F182" s="197">
        <f t="shared" si="45"/>
        <v>0</v>
      </c>
      <c r="G182" s="197">
        <f t="shared" si="45"/>
        <v>90871</v>
      </c>
      <c r="H182" s="197">
        <f t="shared" si="45"/>
        <v>98266</v>
      </c>
      <c r="I182" s="197">
        <f t="shared" si="45"/>
        <v>106371</v>
      </c>
      <c r="J182" s="197">
        <f t="shared" si="45"/>
        <v>73830</v>
      </c>
      <c r="N182" s="197">
        <f>J182</f>
        <v>73830</v>
      </c>
    </row>
    <row r="183" spans="1:15" x14ac:dyDescent="0.2">
      <c r="B183" s="9" t="s">
        <v>386</v>
      </c>
      <c r="C183" s="197">
        <f>(C51+C59)*Overview!$C$4</f>
        <v>0</v>
      </c>
      <c r="D183" s="197">
        <f>(D51+D59)*Overview!$C$4</f>
        <v>0</v>
      </c>
      <c r="E183" s="197">
        <f>(E51+E59)*Overview!$C$4</f>
        <v>0</v>
      </c>
      <c r="F183" s="197">
        <f>(F51+F59)*Overview!$C$4</f>
        <v>0</v>
      </c>
      <c r="G183" s="197">
        <f>(G51+G59)*Overview!$C$4</f>
        <v>101.85</v>
      </c>
      <c r="H183" s="197">
        <f>(H51+H59)*Overview!$C$4</f>
        <v>84</v>
      </c>
      <c r="I183" s="197">
        <f>(I51+I59)*Overview!$C$4</f>
        <v>65.849999999999994</v>
      </c>
      <c r="J183" s="197">
        <f>(J51+J59)*Overview!$C$4</f>
        <v>177.07499999999999</v>
      </c>
      <c r="N183" s="197">
        <f>J183</f>
        <v>177.07499999999999</v>
      </c>
    </row>
    <row r="184" spans="1:15" x14ac:dyDescent="0.2">
      <c r="B184" s="9" t="s">
        <v>392</v>
      </c>
      <c r="C184" s="197">
        <f>C149-C183</f>
        <v>182</v>
      </c>
      <c r="D184" s="197">
        <f t="shared" ref="D184:J184" si="46">D149-D183</f>
        <v>257</v>
      </c>
      <c r="E184" s="197">
        <f t="shared" si="46"/>
        <v>245</v>
      </c>
      <c r="F184" s="197">
        <f t="shared" si="46"/>
        <v>299</v>
      </c>
      <c r="G184" s="197">
        <f t="shared" si="46"/>
        <v>143.15</v>
      </c>
      <c r="H184" s="197">
        <f t="shared" si="46"/>
        <v>159</v>
      </c>
      <c r="I184" s="197">
        <f t="shared" si="46"/>
        <v>178.15</v>
      </c>
      <c r="J184" s="197">
        <f t="shared" si="46"/>
        <v>44.925000000000011</v>
      </c>
      <c r="N184" s="197">
        <f>N149-N183</f>
        <v>776.92499999999995</v>
      </c>
    </row>
    <row r="185" spans="1:15" x14ac:dyDescent="0.2">
      <c r="B185" s="9" t="s">
        <v>308</v>
      </c>
      <c r="C185" s="197">
        <f>C14+C183</f>
        <v>-19420</v>
      </c>
      <c r="D185" s="197">
        <f t="shared" ref="D185:J185" si="47">D14+D183</f>
        <v>-17222</v>
      </c>
      <c r="E185" s="197">
        <f t="shared" si="47"/>
        <v>-13843</v>
      </c>
      <c r="F185" s="197">
        <f t="shared" si="47"/>
        <v>-7612</v>
      </c>
      <c r="G185" s="197">
        <f t="shared" si="47"/>
        <v>-3185.15</v>
      </c>
      <c r="H185" s="197">
        <f t="shared" si="47"/>
        <v>-1423</v>
      </c>
      <c r="I185" s="197">
        <f t="shared" si="47"/>
        <v>3804.85</v>
      </c>
      <c r="J185" s="197">
        <f t="shared" si="47"/>
        <v>-5379.9250000000002</v>
      </c>
      <c r="N185" s="104">
        <f>N14+N183-N184</f>
        <v>-7211.85</v>
      </c>
    </row>
    <row r="186" spans="1:15" x14ac:dyDescent="0.2">
      <c r="B186" s="9" t="s">
        <v>222</v>
      </c>
      <c r="C186" s="104">
        <f>C181+C72-C182</f>
        <v>0</v>
      </c>
      <c r="D186" s="104">
        <f t="shared" ref="D186:J186" si="48">D181+D72-D182</f>
        <v>0</v>
      </c>
      <c r="E186" s="104">
        <f t="shared" si="48"/>
        <v>0</v>
      </c>
      <c r="F186" s="104">
        <f t="shared" si="48"/>
        <v>0</v>
      </c>
      <c r="G186" s="104">
        <f t="shared" si="48"/>
        <v>207183</v>
      </c>
      <c r="H186" s="104">
        <f t="shared" si="48"/>
        <v>212513</v>
      </c>
      <c r="I186" s="104">
        <f t="shared" si="48"/>
        <v>224388</v>
      </c>
      <c r="J186" s="104">
        <f t="shared" si="48"/>
        <v>365826</v>
      </c>
      <c r="N186" s="104">
        <f>J186</f>
        <v>365826</v>
      </c>
    </row>
    <row r="187" spans="1:15" x14ac:dyDescent="0.2">
      <c r="B187" s="9" t="s">
        <v>219</v>
      </c>
      <c r="C187" s="104"/>
      <c r="D187" s="104"/>
      <c r="E187" s="104"/>
      <c r="F187" s="104"/>
      <c r="G187" s="104"/>
      <c r="H187" s="104"/>
      <c r="I187" s="104"/>
      <c r="J187" s="104"/>
      <c r="N187" s="104">
        <f>N185</f>
        <v>-7211.85</v>
      </c>
    </row>
    <row r="188" spans="1:15" x14ac:dyDescent="0.2">
      <c r="B188" s="9" t="s">
        <v>388</v>
      </c>
      <c r="C188" s="104">
        <f>C185+C149+C77</f>
        <v>-12565</v>
      </c>
      <c r="D188" s="104">
        <f t="shared" ref="D188:J188" si="49">D185+D149+D77</f>
        <v>-9662</v>
      </c>
      <c r="E188" s="104">
        <f t="shared" si="49"/>
        <v>-6511</v>
      </c>
      <c r="F188" s="104">
        <f t="shared" si="49"/>
        <v>-490</v>
      </c>
      <c r="G188" s="104">
        <f t="shared" si="49"/>
        <v>3937.85</v>
      </c>
      <c r="H188" s="104">
        <f t="shared" si="49"/>
        <v>6229</v>
      </c>
      <c r="I188" s="104">
        <f t="shared" si="49"/>
        <v>11526.85</v>
      </c>
      <c r="J188" s="104">
        <f t="shared" si="49"/>
        <v>4530.0749999999998</v>
      </c>
      <c r="N188" s="104">
        <f>N185+N149+N77</f>
        <v>25195.15</v>
      </c>
    </row>
    <row r="190" spans="1:15" x14ac:dyDescent="0.2">
      <c r="B190" s="1"/>
    </row>
  </sheetData>
  <mergeCells count="1">
    <mergeCell ref="P4:R4"/>
  </mergeCells>
  <phoneticPr fontId="5" type="noConversion"/>
  <pageMargins left="0.7" right="0.7" top="0.75" bottom="0.75" header="0.3" footer="0.3"/>
  <ignoredErrors>
    <ignoredError sqref="N5:N6 N18:N23 N8:N12 G47:I47 G64:I64 N14:N17 N77 N149" formulaRange="1"/>
  </ignoredErrors>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6743E-AC47-8C49-8C34-0B3490403CB1}">
  <dimension ref="B2:S117"/>
  <sheetViews>
    <sheetView zoomScale="178" workbookViewId="0">
      <pane xSplit="2" ySplit="3" topLeftCell="C73" activePane="bottomRight" state="frozen"/>
      <selection pane="topRight" activeCell="C1" sqref="C1"/>
      <selection pane="bottomLeft" activeCell="A4" sqref="A4"/>
      <selection pane="bottomRight" activeCell="C26" sqref="C26"/>
    </sheetView>
  </sheetViews>
  <sheetFormatPr baseColWidth="10" defaultRowHeight="16" outlineLevelRow="1" outlineLevelCol="1" x14ac:dyDescent="0.2"/>
  <cols>
    <col min="1" max="1" width="3.6640625" style="1" customWidth="1"/>
    <col min="2" max="2" width="32.5" style="1" customWidth="1"/>
    <col min="3" max="8" width="10.83203125" style="1"/>
    <col min="9" max="9" width="4" style="1" customWidth="1"/>
    <col min="10" max="17" width="10.83203125" style="1" outlineLevel="1"/>
    <col min="18" max="18" width="4" style="1" customWidth="1"/>
    <col min="19" max="16384" width="10.83203125" style="1"/>
  </cols>
  <sheetData>
    <row r="2" spans="2:19" x14ac:dyDescent="0.2">
      <c r="B2" s="63" t="s">
        <v>0</v>
      </c>
      <c r="C2" s="3" t="str">
        <f>'Statement Y'!C2</f>
        <v>31.01.2021</v>
      </c>
      <c r="D2" s="3" t="str">
        <f>'Statement Y'!D2</f>
        <v>31.01.2022</v>
      </c>
      <c r="E2" s="3" t="str">
        <f>'Statement Y'!E2</f>
        <v>31.01.2023</v>
      </c>
      <c r="F2" s="3" t="str">
        <f>'Statement Y'!F2</f>
        <v>31.01.2024</v>
      </c>
      <c r="G2" s="3" t="str">
        <f>'Statement Y'!G2</f>
        <v>31.01.2025</v>
      </c>
      <c r="H2" s="3" t="str">
        <f>'Statement Y'!H2</f>
        <v>31.01.2026</v>
      </c>
      <c r="J2" s="3" t="str">
        <f>'Statement Q'!C2</f>
        <v>30.04.2024</v>
      </c>
      <c r="K2" s="3" t="str">
        <f>'Statement Q'!D2</f>
        <v>31.07.2024</v>
      </c>
      <c r="L2" s="3" t="str">
        <f>'Statement Q'!E2</f>
        <v>31.10.2024</v>
      </c>
      <c r="M2" s="3" t="str">
        <f>'Statement Q'!F2</f>
        <v>31.01.2025</v>
      </c>
      <c r="N2" s="3" t="str">
        <f>'Statement Q'!G2</f>
        <v>30.04.2025</v>
      </c>
      <c r="O2" s="3" t="str">
        <f>'Statement Q'!H2</f>
        <v>31.07.2025</v>
      </c>
      <c r="P2" s="3" t="str">
        <f>'Statement Q'!I2</f>
        <v>31.10.2025</v>
      </c>
      <c r="Q2" s="3" t="str">
        <f>'Statement Q'!J2</f>
        <v>31.01.2026</v>
      </c>
      <c r="S2" s="3"/>
    </row>
    <row r="3" spans="2:19" x14ac:dyDescent="0.2">
      <c r="B3" s="64" t="s">
        <v>1</v>
      </c>
      <c r="C3" s="3">
        <f>'Statement Y'!C3</f>
        <v>2021</v>
      </c>
      <c r="D3" s="3">
        <f>'Statement Y'!D3</f>
        <v>2022</v>
      </c>
      <c r="E3" s="3">
        <f>'Statement Y'!E3</f>
        <v>2023</v>
      </c>
      <c r="F3" s="3">
        <f>'Statement Y'!F3</f>
        <v>2024</v>
      </c>
      <c r="G3" s="3">
        <f>'Statement Y'!G3</f>
        <v>2025</v>
      </c>
      <c r="H3" s="3">
        <f>'Statement Y'!H3</f>
        <v>2026</v>
      </c>
      <c r="J3" s="3" t="str">
        <f>'Statement Q'!C3</f>
        <v>Q1 2025</v>
      </c>
      <c r="K3" s="3" t="str">
        <f>'Statement Q'!D3</f>
        <v>Q2 2025</v>
      </c>
      <c r="L3" s="3" t="str">
        <f>'Statement Q'!E3</f>
        <v>Q3 2025</v>
      </c>
      <c r="M3" s="3" t="str">
        <f>'Statement Q'!F3</f>
        <v>Q4 2025</v>
      </c>
      <c r="N3" s="3" t="str">
        <f>'Statement Q'!G3</f>
        <v>Q1 2026</v>
      </c>
      <c r="O3" s="3" t="str">
        <f>'Statement Q'!H3</f>
        <v>Q2 2026</v>
      </c>
      <c r="P3" s="3" t="str">
        <f>'Statement Q'!I3</f>
        <v>Q3 2026</v>
      </c>
      <c r="Q3" s="3" t="str">
        <f>'Statement Q'!J3</f>
        <v>Q4 2026</v>
      </c>
      <c r="S3" s="3" t="s">
        <v>74</v>
      </c>
    </row>
    <row r="4" spans="2:19" ht="17" thickBot="1" x14ac:dyDescent="0.25">
      <c r="B4" s="15" t="s">
        <v>5</v>
      </c>
      <c r="C4" s="14"/>
      <c r="D4" s="14"/>
      <c r="E4" s="14"/>
      <c r="F4" s="14"/>
      <c r="G4" s="14"/>
      <c r="H4" s="14"/>
      <c r="J4" s="14"/>
      <c r="K4" s="14"/>
      <c r="L4" s="14"/>
      <c r="M4" s="14"/>
      <c r="N4" s="14"/>
      <c r="O4" s="14"/>
      <c r="P4" s="14"/>
      <c r="Q4" s="38"/>
      <c r="S4" s="14"/>
    </row>
    <row r="5" spans="2:19" outlineLevel="1" x14ac:dyDescent="0.2">
      <c r="B5" s="17" t="s">
        <v>6</v>
      </c>
      <c r="C5" s="119">
        <f>'Statement Y'!C5</f>
        <v>148677</v>
      </c>
      <c r="D5" s="119">
        <f>'Statement Y'!D5</f>
        <v>213233</v>
      </c>
      <c r="E5" s="119">
        <f>'Statement Y'!E5</f>
        <v>280910</v>
      </c>
      <c r="F5" s="119">
        <f>'Statement Y'!F5</f>
        <v>356299</v>
      </c>
      <c r="G5" s="119">
        <f>'Statement Y'!G5</f>
        <v>419813</v>
      </c>
      <c r="H5" s="119">
        <f>'Statement Y'!H5</f>
        <v>480591</v>
      </c>
      <c r="J5" s="119">
        <f>'Statement Q'!C5</f>
        <v>101217</v>
      </c>
      <c r="K5" s="119">
        <f>'Statement Q'!D5</f>
        <v>102115</v>
      </c>
      <c r="L5" s="119">
        <f>'Statement Q'!E5</f>
        <v>106800</v>
      </c>
      <c r="M5" s="119">
        <f>'Statement Q'!F5</f>
        <v>109681</v>
      </c>
      <c r="N5" s="119">
        <f>'Statement Q'!G5</f>
        <v>115936</v>
      </c>
      <c r="O5" s="119">
        <f>'Statement Q'!H5</f>
        <v>117255</v>
      </c>
      <c r="P5" s="119">
        <f>'Statement Q'!I5</f>
        <v>120333</v>
      </c>
      <c r="Q5" s="119">
        <f>'Statement Q'!J5</f>
        <v>127067</v>
      </c>
      <c r="S5" s="119">
        <f>SUM(N5:Q5)</f>
        <v>480591</v>
      </c>
    </row>
    <row r="6" spans="2:19" outlineLevel="1" x14ac:dyDescent="0.2">
      <c r="B6" s="9" t="s">
        <v>7</v>
      </c>
      <c r="C6" s="120">
        <f>'Statement Y'!C6</f>
        <v>52386</v>
      </c>
      <c r="D6" s="120">
        <f>'Statement Y'!D6</f>
        <v>81388</v>
      </c>
      <c r="E6" s="120">
        <f>'Statement Y'!E6</f>
        <v>109267</v>
      </c>
      <c r="F6" s="120">
        <f>'Statement Y'!F6</f>
        <v>124011</v>
      </c>
      <c r="G6" s="120">
        <f>'Statement Y'!G6</f>
        <v>134934</v>
      </c>
      <c r="H6" s="120">
        <f>'Statement Y'!H6</f>
        <v>154123</v>
      </c>
      <c r="J6" s="120">
        <f>'Statement Q'!C6</f>
        <v>34020</v>
      </c>
      <c r="K6" s="120">
        <f>'Statement Q'!D6</f>
        <v>32811</v>
      </c>
      <c r="L6" s="120">
        <f>'Statement Q'!E6</f>
        <v>34537</v>
      </c>
      <c r="M6" s="120">
        <f>'Statement Q'!F6</f>
        <v>33566</v>
      </c>
      <c r="N6" s="120">
        <f>'Statement Q'!G6</f>
        <v>38065</v>
      </c>
      <c r="O6" s="120">
        <f>'Statement Q'!H6</f>
        <v>37641</v>
      </c>
      <c r="P6" s="120">
        <f>'Statement Q'!I6</f>
        <v>38027</v>
      </c>
      <c r="Q6" s="120">
        <f>'Statement Q'!J6</f>
        <v>40390</v>
      </c>
      <c r="S6" s="120">
        <f t="shared" ref="S6:S21" si="0">SUM(N6:Q6)</f>
        <v>154123</v>
      </c>
    </row>
    <row r="7" spans="2:19" outlineLevel="1" x14ac:dyDescent="0.2">
      <c r="B7" s="17" t="s">
        <v>8</v>
      </c>
      <c r="C7" s="119">
        <f>'Statement Y'!C7</f>
        <v>96291</v>
      </c>
      <c r="D7" s="119">
        <f>'Statement Y'!D7</f>
        <v>131845</v>
      </c>
      <c r="E7" s="119">
        <f>'Statement Y'!E7</f>
        <v>171643</v>
      </c>
      <c r="F7" s="119">
        <f>'Statement Y'!F7</f>
        <v>232288</v>
      </c>
      <c r="G7" s="119">
        <f>'Statement Y'!G7</f>
        <v>284879</v>
      </c>
      <c r="H7" s="119">
        <f>'Statement Y'!H7</f>
        <v>326468</v>
      </c>
      <c r="J7" s="119">
        <f>'Statement Q'!C7</f>
        <v>67197</v>
      </c>
      <c r="K7" s="119">
        <f>'Statement Q'!D7</f>
        <v>69304</v>
      </c>
      <c r="L7" s="119">
        <f>'Statement Q'!E7</f>
        <v>72263</v>
      </c>
      <c r="M7" s="119">
        <f>'Statement Q'!F7</f>
        <v>76115</v>
      </c>
      <c r="N7" s="119">
        <f>'Statement Q'!G7</f>
        <v>77871</v>
      </c>
      <c r="O7" s="119">
        <f>'Statement Q'!H7</f>
        <v>79614</v>
      </c>
      <c r="P7" s="119">
        <f>'Statement Q'!I7</f>
        <v>82306</v>
      </c>
      <c r="Q7" s="119">
        <f>'Statement Q'!J7</f>
        <v>86677</v>
      </c>
      <c r="S7" s="119">
        <f t="shared" si="0"/>
        <v>326468</v>
      </c>
    </row>
    <row r="8" spans="2:19" outlineLevel="1" x14ac:dyDescent="0.2">
      <c r="B8" s="12" t="s">
        <v>94</v>
      </c>
      <c r="C8" s="120">
        <f>'Statement Y'!C8</f>
        <v>42972</v>
      </c>
      <c r="D8" s="120">
        <f>'Statement Y'!D8</f>
        <v>106421</v>
      </c>
      <c r="E8" s="120">
        <f>'Statement Y'!E8</f>
        <v>151263</v>
      </c>
      <c r="F8" s="120">
        <f>'Statement Y'!F8</f>
        <v>147008</v>
      </c>
      <c r="G8" s="120">
        <f>'Statement Y'!G8</f>
        <v>121129</v>
      </c>
      <c r="H8" s="120">
        <f>'Statement Y'!H8</f>
        <v>100243</v>
      </c>
      <c r="J8" s="120">
        <f>'Statement Q'!C8</f>
        <v>32011</v>
      </c>
      <c r="K8" s="120">
        <f>'Statement Q'!D8</f>
        <v>30184</v>
      </c>
      <c r="L8" s="120">
        <f>'Statement Q'!E8</f>
        <v>30071</v>
      </c>
      <c r="M8" s="120">
        <f>'Statement Q'!F8</f>
        <v>28863</v>
      </c>
      <c r="N8" s="120">
        <f>'Statement Q'!G8</f>
        <v>26043</v>
      </c>
      <c r="O8" s="120">
        <f>'Statement Q'!H8</f>
        <v>25396</v>
      </c>
      <c r="P8" s="120">
        <f>'Statement Q'!I8</f>
        <v>24148</v>
      </c>
      <c r="Q8" s="120">
        <f>'Statement Q'!J8</f>
        <v>24656</v>
      </c>
      <c r="S8" s="120">
        <f t="shared" si="0"/>
        <v>100243</v>
      </c>
    </row>
    <row r="9" spans="2:19" outlineLevel="1" x14ac:dyDescent="0.2">
      <c r="B9" s="12" t="s">
        <v>9</v>
      </c>
      <c r="C9" s="120">
        <f>'Statement Y'!C9</f>
        <v>22622</v>
      </c>
      <c r="D9" s="120">
        <f>'Statement Y'!D9</f>
        <v>52265</v>
      </c>
      <c r="E9" s="120">
        <f>'Statement Y'!E9</f>
        <v>91244</v>
      </c>
      <c r="F9" s="120">
        <f>'Statement Y'!F9</f>
        <v>112346</v>
      </c>
      <c r="G9" s="120">
        <f>'Statement Y'!G9</f>
        <v>117364</v>
      </c>
      <c r="H9" s="120">
        <f>'Statement Y'!H9</f>
        <v>121481</v>
      </c>
      <c r="J9" s="120">
        <f>'Statement Q'!C9</f>
        <v>28881</v>
      </c>
      <c r="K9" s="120">
        <f>'Statement Q'!D9</f>
        <v>29542</v>
      </c>
      <c r="L9" s="120">
        <f>'Statement Q'!E9</f>
        <v>29315</v>
      </c>
      <c r="M9" s="120">
        <f>'Statement Q'!F9</f>
        <v>29626</v>
      </c>
      <c r="N9" s="120">
        <f>'Statement Q'!G9</f>
        <v>31829</v>
      </c>
      <c r="O9" s="120">
        <f>'Statement Q'!H9</f>
        <v>29274</v>
      </c>
      <c r="P9" s="120">
        <f>'Statement Q'!I9</f>
        <v>29453</v>
      </c>
      <c r="Q9" s="120">
        <f>'Statement Q'!J9</f>
        <v>30925</v>
      </c>
      <c r="S9" s="120">
        <f t="shared" si="0"/>
        <v>121481</v>
      </c>
    </row>
    <row r="10" spans="2:19" outlineLevel="1" x14ac:dyDescent="0.2">
      <c r="B10" s="12" t="s">
        <v>95</v>
      </c>
      <c r="C10" s="120">
        <f>'Statement Y'!C10</f>
        <v>40460</v>
      </c>
      <c r="D10" s="120">
        <f>'Statement Y'!D10</f>
        <v>68674</v>
      </c>
      <c r="E10" s="120">
        <f>'Statement Y'!E10</f>
        <v>80384</v>
      </c>
      <c r="F10" s="120">
        <f>'Statement Y'!F10</f>
        <v>79926</v>
      </c>
      <c r="G10" s="120">
        <f>'Statement Y'!G10</f>
        <v>76597</v>
      </c>
      <c r="H10" s="120">
        <f>'Statement Y'!H10</f>
        <v>79903</v>
      </c>
      <c r="J10" s="120">
        <f>'Statement Q'!C10</f>
        <v>19052</v>
      </c>
      <c r="K10" s="120">
        <f>'Statement Q'!D10</f>
        <v>19497</v>
      </c>
      <c r="L10" s="120">
        <f>'Statement Q'!E10</f>
        <v>19633</v>
      </c>
      <c r="M10" s="120">
        <f>'Statement Q'!F10</f>
        <v>18415</v>
      </c>
      <c r="N10" s="120">
        <f>'Statement Q'!G10</f>
        <v>16408</v>
      </c>
      <c r="O10" s="120">
        <f>'Statement Q'!H10</f>
        <v>19042</v>
      </c>
      <c r="P10" s="120">
        <f>'Statement Q'!I10</f>
        <v>17488</v>
      </c>
      <c r="Q10" s="120">
        <f>'Statement Q'!J10</f>
        <v>26965</v>
      </c>
      <c r="S10" s="120">
        <f t="shared" si="0"/>
        <v>79903</v>
      </c>
    </row>
    <row r="11" spans="2:19" outlineLevel="1" x14ac:dyDescent="0.2">
      <c r="B11" s="12" t="s">
        <v>85</v>
      </c>
      <c r="C11" s="120">
        <f>'Statement Y'!C11</f>
        <v>9770</v>
      </c>
      <c r="D11" s="120">
        <f>'Statement Y'!D11</f>
        <v>14985</v>
      </c>
      <c r="E11" s="120">
        <f>'Statement Y'!E11</f>
        <v>17988</v>
      </c>
      <c r="F11" s="120">
        <f>'Statement Y'!F11</f>
        <v>17584</v>
      </c>
      <c r="G11" s="120">
        <f>'Statement Y'!G11</f>
        <v>14183</v>
      </c>
      <c r="H11" s="120">
        <f>'Statement Y'!H11</f>
        <v>12972</v>
      </c>
      <c r="J11" s="120">
        <f>'Statement Q'!C11</f>
        <v>3524</v>
      </c>
      <c r="K11" s="120">
        <f>'Statement Q'!D11</f>
        <v>3921</v>
      </c>
      <c r="L11" s="120">
        <f>'Statement Q'!E11</f>
        <v>3566</v>
      </c>
      <c r="M11" s="120">
        <f>'Statement Q'!F11</f>
        <v>3172</v>
      </c>
      <c r="N11" s="120">
        <f>'Statement Q'!G11</f>
        <v>2986</v>
      </c>
      <c r="O11" s="120">
        <f>'Statement Q'!H11</f>
        <v>3279</v>
      </c>
      <c r="P11" s="120">
        <f>'Statement Q'!I11</f>
        <v>3199</v>
      </c>
      <c r="Q11" s="120">
        <f>'Statement Q'!J11</f>
        <v>3508</v>
      </c>
      <c r="S11" s="120">
        <f t="shared" si="0"/>
        <v>12972</v>
      </c>
    </row>
    <row r="12" spans="2:19" outlineLevel="1" x14ac:dyDescent="0.2">
      <c r="B12" s="12" t="s">
        <v>86</v>
      </c>
      <c r="C12" s="120">
        <f>'Statement Y'!C12</f>
        <v>6138</v>
      </c>
      <c r="D12" s="120">
        <f>'Statement Y'!D12</f>
        <v>6317</v>
      </c>
      <c r="E12" s="120">
        <f>'Statement Y'!E12</f>
        <v>7316</v>
      </c>
      <c r="F12" s="120">
        <f>'Statement Y'!F12</f>
        <v>11903</v>
      </c>
      <c r="G12" s="120">
        <f>'Statement Y'!G12</f>
        <v>13703</v>
      </c>
      <c r="H12" s="120">
        <f>'Statement Y'!H12</f>
        <v>18481</v>
      </c>
      <c r="J12" s="120">
        <f>'Statement Q'!C12</f>
        <v>3149</v>
      </c>
      <c r="K12" s="120">
        <f>'Statement Q'!D12</f>
        <v>3382</v>
      </c>
      <c r="L12" s="120">
        <f>'Statement Q'!E12</f>
        <v>3521</v>
      </c>
      <c r="M12" s="120">
        <f>'Statement Q'!F12</f>
        <v>3651</v>
      </c>
      <c r="N12" s="120">
        <f>'Statement Q'!G12</f>
        <v>3892</v>
      </c>
      <c r="O12" s="120">
        <f>'Statement Q'!H12</f>
        <v>4130</v>
      </c>
      <c r="P12" s="120">
        <f>'Statement Q'!I12</f>
        <v>4279</v>
      </c>
      <c r="Q12" s="120">
        <f>'Statement Q'!J12</f>
        <v>6180</v>
      </c>
      <c r="S12" s="120">
        <f t="shared" si="0"/>
        <v>18481</v>
      </c>
    </row>
    <row r="13" spans="2:19" outlineLevel="1" x14ac:dyDescent="0.2">
      <c r="B13" s="12" t="s">
        <v>11</v>
      </c>
      <c r="C13" s="120">
        <f>'Statement Y'!C13</f>
        <v>121962</v>
      </c>
      <c r="D13" s="120">
        <f>'Statement Y'!D13</f>
        <v>248662</v>
      </c>
      <c r="E13" s="120">
        <f>'Statement Y'!E13</f>
        <v>348195</v>
      </c>
      <c r="F13" s="120">
        <f>'Statement Y'!F13</f>
        <v>368767</v>
      </c>
      <c r="G13" s="120">
        <f>'Statement Y'!G13</f>
        <v>342976</v>
      </c>
      <c r="H13" s="120">
        <f>'Statement Y'!H13</f>
        <v>333080</v>
      </c>
      <c r="J13" s="120">
        <f>'Statement Q'!C13</f>
        <v>86617</v>
      </c>
      <c r="K13" s="120">
        <f>'Statement Q'!D13</f>
        <v>86526</v>
      </c>
      <c r="L13" s="120">
        <f>'Statement Q'!E13</f>
        <v>86106</v>
      </c>
      <c r="M13" s="120">
        <f>'Statement Q'!F13</f>
        <v>83727</v>
      </c>
      <c r="N13" s="120">
        <f>'Statement Q'!G13</f>
        <v>81158</v>
      </c>
      <c r="O13" s="120">
        <f>'Statement Q'!H13</f>
        <v>81121</v>
      </c>
      <c r="P13" s="120">
        <f>'Statement Q'!I13</f>
        <v>78567</v>
      </c>
      <c r="Q13" s="120">
        <f>'Statement Q'!J13</f>
        <v>92234</v>
      </c>
      <c r="S13" s="120">
        <f t="shared" si="0"/>
        <v>333080</v>
      </c>
    </row>
    <row r="14" spans="2:19" outlineLevel="1" x14ac:dyDescent="0.2">
      <c r="B14" s="17" t="s">
        <v>12</v>
      </c>
      <c r="C14" s="119">
        <f>'Statement Y'!C14</f>
        <v>-25671</v>
      </c>
      <c r="D14" s="119">
        <f>'Statement Y'!D14</f>
        <v>-116817</v>
      </c>
      <c r="E14" s="119">
        <f>'Statement Y'!E14</f>
        <v>-176552</v>
      </c>
      <c r="F14" s="119">
        <f>'Statement Y'!F14</f>
        <v>-136479</v>
      </c>
      <c r="G14" s="119">
        <f>'Statement Y'!G14</f>
        <v>-58097</v>
      </c>
      <c r="H14" s="119">
        <f>'Statement Y'!H14</f>
        <v>-6612</v>
      </c>
      <c r="J14" s="119">
        <f>'Statement Q'!C14</f>
        <v>-19420</v>
      </c>
      <c r="K14" s="119">
        <f>'Statement Q'!D14</f>
        <v>-17222</v>
      </c>
      <c r="L14" s="119">
        <f>'Statement Q'!E14</f>
        <v>-13843</v>
      </c>
      <c r="M14" s="119">
        <f>'Statement Q'!F14</f>
        <v>-7612</v>
      </c>
      <c r="N14" s="119">
        <f>'Statement Q'!G14</f>
        <v>-3287</v>
      </c>
      <c r="O14" s="119">
        <f>'Statement Q'!H14</f>
        <v>-1507</v>
      </c>
      <c r="P14" s="119">
        <f>'Statement Q'!I14</f>
        <v>3739</v>
      </c>
      <c r="Q14" s="119">
        <f>'Statement Q'!J14</f>
        <v>-5557</v>
      </c>
      <c r="S14" s="119">
        <f t="shared" si="0"/>
        <v>-6612</v>
      </c>
    </row>
    <row r="15" spans="2:19" outlineLevel="1" x14ac:dyDescent="0.2">
      <c r="B15" s="80" t="s">
        <v>225</v>
      </c>
      <c r="C15" s="133">
        <f>C14+C73</f>
        <v>-9763</v>
      </c>
      <c r="D15" s="133">
        <f t="shared" ref="D15:G15" si="1">D14+D73</f>
        <v>-95515</v>
      </c>
      <c r="E15" s="133">
        <f t="shared" si="1"/>
        <v>-151248</v>
      </c>
      <c r="F15" s="133">
        <f t="shared" si="1"/>
        <v>-106992</v>
      </c>
      <c r="G15" s="133">
        <f t="shared" si="1"/>
        <v>-30211</v>
      </c>
      <c r="H15" s="133">
        <f t="shared" ref="H15" si="2">H14+H73</f>
        <v>24841</v>
      </c>
      <c r="J15" s="133">
        <f>J14+J73</f>
        <v>-12747</v>
      </c>
      <c r="K15" s="133">
        <f t="shared" ref="K15:Q15" si="3">K14+K73</f>
        <v>-9919</v>
      </c>
      <c r="L15" s="133">
        <f t="shared" si="3"/>
        <v>-6756</v>
      </c>
      <c r="M15" s="133">
        <f t="shared" si="3"/>
        <v>-789</v>
      </c>
      <c r="N15" s="133">
        <f t="shared" si="3"/>
        <v>3591</v>
      </c>
      <c r="O15" s="133">
        <f t="shared" si="3"/>
        <v>5902</v>
      </c>
      <c r="P15" s="133">
        <f t="shared" si="3"/>
        <v>11217</v>
      </c>
      <c r="Q15" s="133">
        <f t="shared" si="3"/>
        <v>4131</v>
      </c>
      <c r="S15" s="133">
        <f>SUM(N15:Q15)</f>
        <v>24841</v>
      </c>
    </row>
    <row r="16" spans="2:19" outlineLevel="1" x14ac:dyDescent="0.2">
      <c r="B16" s="12" t="s">
        <v>122</v>
      </c>
      <c r="C16" s="120">
        <f>'Statement Y'!C15</f>
        <v>1</v>
      </c>
      <c r="D16" s="120">
        <f>'Statement Y'!D15</f>
        <v>-78</v>
      </c>
      <c r="E16" s="120">
        <f>'Statement Y'!E15</f>
        <v>-175</v>
      </c>
      <c r="F16" s="120">
        <f>'Statement Y'!F15</f>
        <v>44</v>
      </c>
      <c r="G16" s="120">
        <f>'Statement Y'!G15</f>
        <v>1956</v>
      </c>
      <c r="H16" s="120">
        <f>'Statement Y'!H15</f>
        <v>2953</v>
      </c>
      <c r="J16" s="120">
        <f>'Statement Q'!C15</f>
        <v>-31</v>
      </c>
      <c r="K16" s="120">
        <f>'Statement Q'!D15</f>
        <v>-86</v>
      </c>
      <c r="L16" s="120">
        <f>'Statement Q'!E15</f>
        <v>-144</v>
      </c>
      <c r="M16" s="120">
        <f>'Statement Q'!F15</f>
        <v>2217</v>
      </c>
      <c r="N16" s="120">
        <f>'Statement Q'!G15</f>
        <v>338</v>
      </c>
      <c r="O16" s="120">
        <f>'Statement Q'!H15</f>
        <v>336</v>
      </c>
      <c r="P16" s="120">
        <f>'Statement Q'!I15</f>
        <v>1006</v>
      </c>
      <c r="Q16" s="120">
        <f>'Statement Q'!J15</f>
        <v>1273</v>
      </c>
      <c r="S16" s="120">
        <f t="shared" si="0"/>
        <v>2953</v>
      </c>
    </row>
    <row r="17" spans="2:19" outlineLevel="1" x14ac:dyDescent="0.2">
      <c r="B17" s="12" t="s">
        <v>123</v>
      </c>
      <c r="C17" s="120">
        <f>'Statement Y'!C16</f>
        <v>0</v>
      </c>
      <c r="D17" s="120">
        <f>'Statement Y'!D16</f>
        <v>0</v>
      </c>
      <c r="E17" s="120">
        <f>'Statement Y'!E16</f>
        <v>0</v>
      </c>
      <c r="F17" s="120">
        <f>'Statement Y'!F16</f>
        <v>-1118</v>
      </c>
      <c r="G17" s="120">
        <f>'Statement Y'!G16</f>
        <v>0</v>
      </c>
      <c r="H17" s="120">
        <f>'Statement Y'!H16</f>
        <v>-501</v>
      </c>
      <c r="J17" s="120">
        <f>'Statement Q'!C16</f>
        <v>0</v>
      </c>
      <c r="K17" s="120">
        <f>'Statement Q'!D16</f>
        <v>0</v>
      </c>
      <c r="L17" s="120">
        <f>'Statement Q'!E16</f>
        <v>0</v>
      </c>
      <c r="M17" s="120">
        <f>'Statement Q'!F16</f>
        <v>0</v>
      </c>
      <c r="N17" s="120">
        <f>'Statement Q'!G16</f>
        <v>0</v>
      </c>
      <c r="O17" s="120">
        <f>'Statement Q'!H16</f>
        <v>0</v>
      </c>
      <c r="P17" s="120">
        <f>'Statement Q'!I16</f>
        <v>0</v>
      </c>
      <c r="Q17" s="120">
        <f>'Statement Q'!J16</f>
        <v>-501</v>
      </c>
      <c r="S17" s="120">
        <f t="shared" si="0"/>
        <v>-501</v>
      </c>
    </row>
    <row r="18" spans="2:19" outlineLevel="1" x14ac:dyDescent="0.2">
      <c r="B18" s="12" t="s">
        <v>104</v>
      </c>
      <c r="C18" s="120">
        <f>'Statement Y'!C18+'Statement Y'!C17</f>
        <v>-1573</v>
      </c>
      <c r="D18" s="120">
        <f>'Statement Y'!D18+'Statement Y'!D17</f>
        <v>-1084</v>
      </c>
      <c r="E18" s="120">
        <f>'Statement Y'!E18+'Statement Y'!E17</f>
        <v>1064</v>
      </c>
      <c r="F18" s="120">
        <f>'Statement Y'!F18+'Statement Y'!F17</f>
        <v>2211</v>
      </c>
      <c r="G18" s="120">
        <f>'Statement Y'!G18+'Statement Y'!G17</f>
        <v>330</v>
      </c>
      <c r="H18" s="120">
        <f>'Statement Y'!H18+'Statement Y'!H17</f>
        <v>-4780</v>
      </c>
      <c r="J18" s="120">
        <f>'Statement Q'!C18+'Statement Q'!C17</f>
        <v>239</v>
      </c>
      <c r="K18" s="120">
        <f>'Statement Q'!D18+'Statement Q'!D17</f>
        <v>46</v>
      </c>
      <c r="L18" s="120">
        <f>'Statement Q'!E18+'Statement Q'!E17</f>
        <v>26</v>
      </c>
      <c r="M18" s="120">
        <f>'Statement Q'!F18+'Statement Q'!F17</f>
        <v>19</v>
      </c>
      <c r="N18" s="120">
        <f>'Statement Q'!G18+'Statement Q'!G17</f>
        <v>-230</v>
      </c>
      <c r="O18" s="120">
        <f>'Statement Q'!H18+'Statement Q'!H17</f>
        <v>608</v>
      </c>
      <c r="P18" s="120">
        <f>'Statement Q'!I18+'Statement Q'!I17</f>
        <v>380</v>
      </c>
      <c r="Q18" s="120">
        <f>'Statement Q'!J18+'Statement Q'!J17</f>
        <v>-5538</v>
      </c>
      <c r="S18" s="120">
        <f t="shared" si="0"/>
        <v>-4780</v>
      </c>
    </row>
    <row r="19" spans="2:19" outlineLevel="1" x14ac:dyDescent="0.2">
      <c r="B19" s="17" t="s">
        <v>13</v>
      </c>
      <c r="C19" s="119">
        <f>'Statement Y'!C19</f>
        <v>-27243</v>
      </c>
      <c r="D19" s="119">
        <f>'Statement Y'!D19</f>
        <v>-117979</v>
      </c>
      <c r="E19" s="119">
        <f>'Statement Y'!E19</f>
        <v>-175663</v>
      </c>
      <c r="F19" s="119">
        <f>'Statement Y'!F19</f>
        <v>-135342</v>
      </c>
      <c r="G19" s="119">
        <f>'Statement Y'!G19</f>
        <v>-55811</v>
      </c>
      <c r="H19" s="119">
        <f>'Statement Y'!H19</f>
        <v>-8940</v>
      </c>
      <c r="J19" s="119">
        <f>'Statement Q'!C19</f>
        <v>-19212</v>
      </c>
      <c r="K19" s="119">
        <f>'Statement Q'!D19</f>
        <v>-17262</v>
      </c>
      <c r="L19" s="119">
        <f>'Statement Q'!E19</f>
        <v>-13961</v>
      </c>
      <c r="M19" s="119">
        <f>'Statement Q'!F19</f>
        <v>-5376</v>
      </c>
      <c r="N19" s="119">
        <f>'Statement Q'!G19</f>
        <v>-3179</v>
      </c>
      <c r="O19" s="119">
        <f>'Statement Q'!H19</f>
        <v>-563</v>
      </c>
      <c r="P19" s="119">
        <f>'Statement Q'!I19</f>
        <v>5125</v>
      </c>
      <c r="Q19" s="119">
        <f>'Statement Q'!J19</f>
        <v>-10323</v>
      </c>
      <c r="S19" s="119">
        <f t="shared" si="0"/>
        <v>-8940</v>
      </c>
    </row>
    <row r="20" spans="2:19" outlineLevel="1" x14ac:dyDescent="0.2">
      <c r="B20" s="12" t="s">
        <v>72</v>
      </c>
      <c r="C20" s="120">
        <f>'Statement Y'!C20</f>
        <v>-49</v>
      </c>
      <c r="D20" s="120">
        <f>'Statement Y'!D20</f>
        <v>-182</v>
      </c>
      <c r="E20" s="120">
        <f>'Statement Y'!E20</f>
        <v>-483</v>
      </c>
      <c r="F20" s="120">
        <f>'Statement Y'!F20</f>
        <v>-1543</v>
      </c>
      <c r="G20" s="120">
        <f>'Statement Y'!G20</f>
        <v>-2716</v>
      </c>
      <c r="H20" s="120">
        <f>'Statement Y'!H20</f>
        <v>11246</v>
      </c>
      <c r="J20" s="120">
        <f>'Statement Q'!C20</f>
        <v>-510</v>
      </c>
      <c r="K20" s="120">
        <f>'Statement Q'!D20</f>
        <v>-750</v>
      </c>
      <c r="L20" s="120">
        <f>'Statement Q'!E20</f>
        <v>-442</v>
      </c>
      <c r="M20" s="120">
        <f>'Statement Q'!F20</f>
        <v>-1014</v>
      </c>
      <c r="N20" s="120">
        <f>'Statement Q'!G20</f>
        <v>-735</v>
      </c>
      <c r="O20" s="120">
        <f>'Statement Q'!H20</f>
        <v>1217</v>
      </c>
      <c r="P20" s="120">
        <f>'Statement Q'!I20</f>
        <v>-854</v>
      </c>
      <c r="Q20" s="120">
        <f>'Statement Q'!J20</f>
        <v>11618</v>
      </c>
      <c r="S20" s="120">
        <f t="shared" si="0"/>
        <v>11246</v>
      </c>
    </row>
    <row r="21" spans="2:19" outlineLevel="1" x14ac:dyDescent="0.2">
      <c r="B21" s="17" t="s">
        <v>14</v>
      </c>
      <c r="C21" s="119">
        <f>'Statement Y'!C21</f>
        <v>-27292</v>
      </c>
      <c r="D21" s="119">
        <f>'Statement Y'!D21</f>
        <v>-118161</v>
      </c>
      <c r="E21" s="119">
        <f>'Statement Y'!E21</f>
        <v>-176146</v>
      </c>
      <c r="F21" s="119">
        <f>'Statement Y'!F21</f>
        <v>-136885</v>
      </c>
      <c r="G21" s="119">
        <f>'Statement Y'!G21</f>
        <v>-58527</v>
      </c>
      <c r="H21" s="119">
        <f>'Statement Y'!H21</f>
        <v>2306</v>
      </c>
      <c r="J21" s="119">
        <f>'Statement Q'!C21</f>
        <v>-19722</v>
      </c>
      <c r="K21" s="119">
        <f>'Statement Q'!D21</f>
        <v>-18012</v>
      </c>
      <c r="L21" s="119">
        <f>'Statement Q'!E21</f>
        <v>-14403</v>
      </c>
      <c r="M21" s="119">
        <f>'Statement Q'!F21</f>
        <v>-6390</v>
      </c>
      <c r="N21" s="119">
        <f>'Statement Q'!G21</f>
        <v>-3914</v>
      </c>
      <c r="O21" s="119">
        <f>'Statement Q'!H21</f>
        <v>654</v>
      </c>
      <c r="P21" s="119">
        <f>'Statement Q'!I21</f>
        <v>4271</v>
      </c>
      <c r="Q21" s="119">
        <f>'Statement Q'!J21</f>
        <v>1295</v>
      </c>
      <c r="S21" s="119">
        <f t="shared" si="0"/>
        <v>2306</v>
      </c>
    </row>
    <row r="22" spans="2:19" outlineLevel="1" x14ac:dyDescent="0.2">
      <c r="B22" s="12" t="s">
        <v>16</v>
      </c>
      <c r="C22" s="120">
        <f>'Statement Y'!C23</f>
        <v>39520</v>
      </c>
      <c r="D22" s="120">
        <f>'Statement Y'!D23</f>
        <v>49888</v>
      </c>
      <c r="E22" s="120">
        <f>'Statement Y'!E23</f>
        <v>52440</v>
      </c>
      <c r="F22" s="120">
        <f>'Statement Y'!F23</f>
        <v>54561</v>
      </c>
      <c r="G22" s="120">
        <f>'Statement Y'!G23</f>
        <v>57590</v>
      </c>
      <c r="H22" s="120">
        <f>'Statement Y'!H23</f>
        <v>61495</v>
      </c>
      <c r="J22" s="120">
        <f>'Statement Q'!C23</f>
        <v>56666</v>
      </c>
      <c r="K22" s="120">
        <f>'Statement Q'!D23</f>
        <v>57503</v>
      </c>
      <c r="L22" s="120">
        <f>'Statement Q'!E23</f>
        <v>57892</v>
      </c>
      <c r="M22" s="120">
        <f>'Statement Q'!F23</f>
        <v>58278</v>
      </c>
      <c r="N22" s="120">
        <f>'Statement Q'!G23</f>
        <v>58921</v>
      </c>
      <c r="O22" s="120">
        <f>'Statement Q'!H23</f>
        <v>61686</v>
      </c>
      <c r="P22" s="120">
        <f>'Statement Q'!I23</f>
        <v>61560</v>
      </c>
      <c r="Q22" s="120">
        <f>'Statement Q'!J23</f>
        <v>61497</v>
      </c>
      <c r="S22" s="120">
        <f>AVERAGE(N22:Q22)</f>
        <v>60916</v>
      </c>
    </row>
    <row r="23" spans="2:19" ht="17" outlineLevel="1" thickBot="1" x14ac:dyDescent="0.25">
      <c r="B23" s="10" t="s">
        <v>18</v>
      </c>
      <c r="C23" s="121">
        <f>'Statement Y'!C25</f>
        <v>-0.69</v>
      </c>
      <c r="D23" s="121">
        <f>'Statement Y'!D25</f>
        <v>-2.37</v>
      </c>
      <c r="E23" s="121">
        <f>'Statement Y'!E25</f>
        <v>-3.36</v>
      </c>
      <c r="F23" s="121">
        <f>'Statement Y'!F25</f>
        <v>-2.5099999999999998</v>
      </c>
      <c r="G23" s="121">
        <f>'Statement Y'!G25</f>
        <v>-1.02</v>
      </c>
      <c r="H23" s="121">
        <f>'Statement Y'!H25</f>
        <v>0.04</v>
      </c>
      <c r="J23" s="121">
        <f>'Statement Q'!C25</f>
        <v>-0.35</v>
      </c>
      <c r="K23" s="121">
        <f>'Statement Q'!D25</f>
        <v>-0.31</v>
      </c>
      <c r="L23" s="121">
        <f>'Statement Q'!E25</f>
        <v>-0.25</v>
      </c>
      <c r="M23" s="121">
        <f>'Statement Q'!F25</f>
        <v>-0.11</v>
      </c>
      <c r="N23" s="121">
        <f>'Statement Q'!G25</f>
        <v>-7.0000000000000007E-2</v>
      </c>
      <c r="O23" s="121">
        <f>'Statement Q'!H25</f>
        <v>0.01</v>
      </c>
      <c r="P23" s="121">
        <f>'Statement Q'!I25</f>
        <v>7.0000000000000007E-2</v>
      </c>
      <c r="Q23" s="121">
        <f>'Statement Q'!J25</f>
        <v>0.02</v>
      </c>
      <c r="S23" s="121">
        <f>S21/S22</f>
        <v>3.7855407446319524E-2</v>
      </c>
    </row>
    <row r="25" spans="2:19" ht="17" thickBot="1" x14ac:dyDescent="0.25">
      <c r="B25" s="15" t="s">
        <v>19</v>
      </c>
      <c r="C25" s="14"/>
      <c r="D25" s="14"/>
      <c r="E25" s="14"/>
      <c r="F25" s="14"/>
      <c r="G25" s="14"/>
      <c r="H25" s="14"/>
      <c r="J25" s="14"/>
      <c r="K25" s="14"/>
      <c r="L25" s="14"/>
      <c r="M25" s="14"/>
      <c r="N25" s="14"/>
      <c r="O25" s="14"/>
      <c r="P25" s="14"/>
      <c r="Q25" s="14"/>
      <c r="S25" s="14"/>
    </row>
    <row r="26" spans="2:19" outlineLevel="1" x14ac:dyDescent="0.2">
      <c r="B26" s="9" t="s">
        <v>20</v>
      </c>
      <c r="C26" s="120">
        <f>'Statement Y'!C28</f>
        <v>218781</v>
      </c>
      <c r="D26" s="120">
        <f>'Statement Y'!D28</f>
        <v>313812</v>
      </c>
      <c r="E26" s="120">
        <f>'Statement Y'!E28</f>
        <v>176683</v>
      </c>
      <c r="F26" s="120">
        <f>'Statement Y'!F28</f>
        <v>87520</v>
      </c>
      <c r="G26" s="120">
        <f>'Statement Y'!G28</f>
        <v>84220</v>
      </c>
      <c r="H26" s="120">
        <f>'Statement Y'!H28</f>
        <v>73830</v>
      </c>
      <c r="J26" s="34">
        <f>'Statement Q'!C28</f>
        <v>0</v>
      </c>
      <c r="K26" s="34">
        <f>'Statement Q'!D28</f>
        <v>0</v>
      </c>
      <c r="L26" s="34">
        <f>'Statement Q'!E28</f>
        <v>0</v>
      </c>
      <c r="M26" s="34">
        <f>'Statement Q'!F28</f>
        <v>0</v>
      </c>
      <c r="N26" s="34">
        <f>'Statement Q'!G28</f>
        <v>90871</v>
      </c>
      <c r="O26" s="34">
        <f>'Statement Q'!H28</f>
        <v>98266</v>
      </c>
      <c r="P26" s="34">
        <f>'Statement Q'!I28</f>
        <v>106371</v>
      </c>
      <c r="Q26" s="34">
        <f>'Statement Q'!J28</f>
        <v>73830</v>
      </c>
      <c r="S26" s="34">
        <f>Q26</f>
        <v>73830</v>
      </c>
    </row>
    <row r="27" spans="2:19" outlineLevel="1" x14ac:dyDescent="0.2">
      <c r="B27" s="9" t="s">
        <v>124</v>
      </c>
      <c r="C27" s="120">
        <f>'Statement Y'!C29</f>
        <v>15488</v>
      </c>
      <c r="D27" s="120">
        <f>'Statement Y'!D29</f>
        <v>19590</v>
      </c>
      <c r="E27" s="120">
        <f>'Statement Y'!E29</f>
        <v>22599</v>
      </c>
      <c r="F27" s="120">
        <f>'Statement Y'!F29</f>
        <v>28072</v>
      </c>
      <c r="G27" s="120">
        <f>'Statement Y'!G29</f>
        <v>29176</v>
      </c>
      <c r="H27" s="120">
        <f>'Statement Y'!H29</f>
        <v>32999</v>
      </c>
      <c r="J27" s="34">
        <f>'Statement Q'!C29</f>
        <v>0</v>
      </c>
      <c r="K27" s="34">
        <f>'Statement Q'!D29</f>
        <v>0</v>
      </c>
      <c r="L27" s="34">
        <f>'Statement Q'!E29</f>
        <v>0</v>
      </c>
      <c r="M27" s="34">
        <f>'Statement Q'!F29</f>
        <v>0</v>
      </c>
      <c r="N27" s="34">
        <f>'Statement Q'!G29</f>
        <v>33006</v>
      </c>
      <c r="O27" s="34">
        <f>'Statement Q'!H29</f>
        <v>28875</v>
      </c>
      <c r="P27" s="34">
        <f>'Statement Q'!I29</f>
        <v>25391</v>
      </c>
      <c r="Q27" s="34">
        <f>'Statement Q'!J29</f>
        <v>32999</v>
      </c>
      <c r="S27" s="34">
        <f t="shared" ref="S27:S69" si="4">Q27</f>
        <v>32999</v>
      </c>
    </row>
    <row r="28" spans="2:19" outlineLevel="1" x14ac:dyDescent="0.2">
      <c r="B28" s="9" t="s">
        <v>21</v>
      </c>
      <c r="C28" s="120">
        <f>'Statement Y'!C30</f>
        <v>29052</v>
      </c>
      <c r="D28" s="120">
        <f>'Statement Y'!D30</f>
        <v>40262</v>
      </c>
      <c r="E28" s="120">
        <f>'Statement Y'!E30</f>
        <v>51394</v>
      </c>
      <c r="F28" s="120">
        <f>'Statement Y'!F30</f>
        <v>64863</v>
      </c>
      <c r="G28" s="120">
        <f>'Statement Y'!G30</f>
        <v>73617</v>
      </c>
      <c r="H28" s="120">
        <f>'Statement Y'!H30</f>
        <v>97453</v>
      </c>
      <c r="J28" s="34">
        <f>'Statement Q'!C30</f>
        <v>0</v>
      </c>
      <c r="K28" s="34">
        <f>'Statement Q'!D30</f>
        <v>0</v>
      </c>
      <c r="L28" s="34">
        <f>'Statement Q'!E30</f>
        <v>0</v>
      </c>
      <c r="M28" s="34">
        <f>'Statement Q'!F30</f>
        <v>0</v>
      </c>
      <c r="N28" s="34">
        <f>'Statement Q'!G30</f>
        <v>75099</v>
      </c>
      <c r="O28" s="34">
        <f>'Statement Q'!H30</f>
        <v>76842</v>
      </c>
      <c r="P28" s="34">
        <f>'Statement Q'!I30</f>
        <v>88257</v>
      </c>
      <c r="Q28" s="34">
        <f>'Statement Q'!J30</f>
        <v>97453</v>
      </c>
      <c r="S28" s="34">
        <f t="shared" si="4"/>
        <v>97453</v>
      </c>
    </row>
    <row r="29" spans="2:19" outlineLevel="1" x14ac:dyDescent="0.2">
      <c r="B29" s="134" t="s">
        <v>229</v>
      </c>
      <c r="C29" s="120">
        <f>'Statement Y'!C31</f>
        <v>0</v>
      </c>
      <c r="D29" s="120">
        <f>'Statement Y'!D31</f>
        <v>0</v>
      </c>
      <c r="E29" s="120">
        <f>'Statement Y'!E31</f>
        <v>0</v>
      </c>
      <c r="F29" s="120">
        <f>'Statement Y'!F31</f>
        <v>0</v>
      </c>
      <c r="G29" s="120">
        <f>'Statement Y'!G31</f>
        <v>0</v>
      </c>
      <c r="H29" s="120">
        <f>'Statement Y'!H31</f>
        <v>38330</v>
      </c>
      <c r="J29" s="34">
        <f>'Statement Q'!C31</f>
        <v>0</v>
      </c>
      <c r="K29" s="34">
        <f>'Statement Q'!D31</f>
        <v>0</v>
      </c>
      <c r="L29" s="34">
        <f>'Statement Q'!E31</f>
        <v>0</v>
      </c>
      <c r="M29" s="34">
        <f>'Statement Q'!F31</f>
        <v>0</v>
      </c>
      <c r="N29" s="34">
        <f>'Statement Q'!G31</f>
        <v>0</v>
      </c>
      <c r="O29" s="34">
        <f>'Statement Q'!H31</f>
        <v>0</v>
      </c>
      <c r="P29" s="34">
        <f>'Statement Q'!I31</f>
        <v>0</v>
      </c>
      <c r="Q29" s="34">
        <f>'Statement Q'!J31</f>
        <v>38330</v>
      </c>
      <c r="S29" s="34">
        <f t="shared" si="4"/>
        <v>38330</v>
      </c>
    </row>
    <row r="30" spans="2:19" outlineLevel="1" x14ac:dyDescent="0.2">
      <c r="B30" s="134" t="s">
        <v>230</v>
      </c>
      <c r="C30" s="120">
        <f>'Statement Y'!C32</f>
        <v>0</v>
      </c>
      <c r="D30" s="120">
        <f>'Statement Y'!D32</f>
        <v>0</v>
      </c>
      <c r="E30" s="120">
        <f>'Statement Y'!E32</f>
        <v>0</v>
      </c>
      <c r="F30" s="120">
        <f>'Statement Y'!F32</f>
        <v>0</v>
      </c>
      <c r="G30" s="120">
        <f>'Statement Y'!G32</f>
        <v>0</v>
      </c>
      <c r="H30" s="120">
        <f>'Statement Y'!H32</f>
        <v>18003</v>
      </c>
      <c r="J30" s="34">
        <f>'Statement Q'!C32</f>
        <v>0</v>
      </c>
      <c r="K30" s="34">
        <f>'Statement Q'!D32</f>
        <v>0</v>
      </c>
      <c r="L30" s="34">
        <f>'Statement Q'!E32</f>
        <v>0</v>
      </c>
      <c r="M30" s="34">
        <f>'Statement Q'!F32</f>
        <v>0</v>
      </c>
      <c r="N30" s="34">
        <f>'Statement Q'!G32</f>
        <v>0</v>
      </c>
      <c r="O30" s="34">
        <f>'Statement Q'!H32</f>
        <v>0</v>
      </c>
      <c r="P30" s="34">
        <f>'Statement Q'!I32</f>
        <v>0</v>
      </c>
      <c r="Q30" s="34">
        <f>'Statement Q'!J32</f>
        <v>18003</v>
      </c>
      <c r="S30" s="34">
        <f t="shared" si="4"/>
        <v>18003</v>
      </c>
    </row>
    <row r="31" spans="2:19" outlineLevel="1" x14ac:dyDescent="0.2">
      <c r="B31" s="134" t="s">
        <v>231</v>
      </c>
      <c r="C31" s="120">
        <f>'Statement Y'!C33</f>
        <v>0</v>
      </c>
      <c r="D31" s="120">
        <f>'Statement Y'!D33</f>
        <v>0</v>
      </c>
      <c r="E31" s="120">
        <f>'Statement Y'!E33</f>
        <v>0</v>
      </c>
      <c r="F31" s="120">
        <f>'Statement Y'!F33</f>
        <v>0</v>
      </c>
      <c r="G31" s="120">
        <f>'Statement Y'!G33</f>
        <v>0</v>
      </c>
      <c r="H31" s="120">
        <f>'Statement Y'!H33</f>
        <v>840</v>
      </c>
      <c r="J31" s="34">
        <f>'Statement Q'!C33</f>
        <v>0</v>
      </c>
      <c r="K31" s="34">
        <f>'Statement Q'!D33</f>
        <v>0</v>
      </c>
      <c r="L31" s="34">
        <f>'Statement Q'!E33</f>
        <v>0</v>
      </c>
      <c r="M31" s="34">
        <f>'Statement Q'!F33</f>
        <v>0</v>
      </c>
      <c r="N31" s="34">
        <f>'Statement Q'!G33</f>
        <v>0</v>
      </c>
      <c r="O31" s="34">
        <f>'Statement Q'!H33</f>
        <v>0</v>
      </c>
      <c r="P31" s="34">
        <f>'Statement Q'!I33</f>
        <v>0</v>
      </c>
      <c r="Q31" s="34">
        <f>'Statement Q'!J33</f>
        <v>840</v>
      </c>
      <c r="S31" s="34">
        <f t="shared" si="4"/>
        <v>840</v>
      </c>
    </row>
    <row r="32" spans="2:19" outlineLevel="1" x14ac:dyDescent="0.2">
      <c r="B32" s="9" t="s">
        <v>125</v>
      </c>
      <c r="C32" s="120">
        <f>'Statement Y'!C34</f>
        <v>1693</v>
      </c>
      <c r="D32" s="120">
        <f>'Statement Y'!D34</f>
        <v>1642</v>
      </c>
      <c r="E32" s="120">
        <f>'Statement Y'!E34</f>
        <v>1056</v>
      </c>
      <c r="F32" s="120">
        <f>'Statement Y'!F34</f>
        <v>768</v>
      </c>
      <c r="G32" s="120">
        <f>'Statement Y'!G34</f>
        <v>401</v>
      </c>
      <c r="H32" s="120">
        <f>'Statement Y'!H34</f>
        <v>410</v>
      </c>
      <c r="J32" s="34">
        <f>'Statement Q'!C34</f>
        <v>0</v>
      </c>
      <c r="K32" s="34">
        <f>'Statement Q'!D34</f>
        <v>0</v>
      </c>
      <c r="L32" s="34">
        <f>'Statement Q'!E34</f>
        <v>0</v>
      </c>
      <c r="M32" s="34">
        <f>'Statement Q'!F34</f>
        <v>0</v>
      </c>
      <c r="N32" s="34">
        <f>'Statement Q'!G34</f>
        <v>414</v>
      </c>
      <c r="O32" s="34">
        <f>'Statement Q'!H34</f>
        <v>431</v>
      </c>
      <c r="P32" s="34">
        <f>'Statement Q'!I34</f>
        <v>427</v>
      </c>
      <c r="Q32" s="34">
        <f>'Statement Q'!J34</f>
        <v>410</v>
      </c>
      <c r="S32" s="34">
        <f t="shared" si="4"/>
        <v>410</v>
      </c>
    </row>
    <row r="33" spans="2:19" outlineLevel="1" x14ac:dyDescent="0.2">
      <c r="B33" s="9" t="s">
        <v>126</v>
      </c>
      <c r="C33" s="120">
        <f>'Statement Y'!C35</f>
        <v>7254</v>
      </c>
      <c r="D33" s="120">
        <f>'Statement Y'!D35</f>
        <v>11043</v>
      </c>
      <c r="E33" s="120">
        <f>'Statement Y'!E35</f>
        <v>10709</v>
      </c>
      <c r="F33" s="120">
        <f>'Statement Y'!F35</f>
        <v>14461</v>
      </c>
      <c r="G33" s="120">
        <f>'Statement Y'!G35</f>
        <v>15871</v>
      </c>
      <c r="H33" s="120">
        <f>'Statement Y'!H35</f>
        <v>17978</v>
      </c>
      <c r="J33" s="34">
        <f>'Statement Q'!C35</f>
        <v>0</v>
      </c>
      <c r="K33" s="34">
        <f>'Statement Q'!D35</f>
        <v>0</v>
      </c>
      <c r="L33" s="34">
        <f>'Statement Q'!E35</f>
        <v>0</v>
      </c>
      <c r="M33" s="34">
        <f>'Statement Q'!F35</f>
        <v>0</v>
      </c>
      <c r="N33" s="34">
        <f>'Statement Q'!G35</f>
        <v>16019</v>
      </c>
      <c r="O33" s="34">
        <f>'Statement Q'!H35</f>
        <v>18227</v>
      </c>
      <c r="P33" s="34">
        <f>'Statement Q'!I35</f>
        <v>20460</v>
      </c>
      <c r="Q33" s="34">
        <f>'Statement Q'!J35</f>
        <v>17978</v>
      </c>
      <c r="S33" s="34">
        <f t="shared" si="4"/>
        <v>17978</v>
      </c>
    </row>
    <row r="34" spans="2:19" outlineLevel="1" x14ac:dyDescent="0.2">
      <c r="B34" s="11" t="s">
        <v>22</v>
      </c>
      <c r="C34" s="122">
        <f>'Statement Y'!C36</f>
        <v>272268</v>
      </c>
      <c r="D34" s="122">
        <f>'Statement Y'!D36</f>
        <v>386349</v>
      </c>
      <c r="E34" s="122">
        <f>'Statement Y'!E36</f>
        <v>262441</v>
      </c>
      <c r="F34" s="122">
        <f>'Statement Y'!F36</f>
        <v>195684</v>
      </c>
      <c r="G34" s="122">
        <f>'Statement Y'!G36</f>
        <v>203285</v>
      </c>
      <c r="H34" s="122">
        <f>'Statement Y'!H36</f>
        <v>279843</v>
      </c>
      <c r="J34" s="58">
        <f>'Statement Q'!C36</f>
        <v>0</v>
      </c>
      <c r="K34" s="58">
        <f>'Statement Q'!D36</f>
        <v>0</v>
      </c>
      <c r="L34" s="58">
        <f>'Statement Q'!E36</f>
        <v>0</v>
      </c>
      <c r="M34" s="58">
        <f>'Statement Q'!F36</f>
        <v>0</v>
      </c>
      <c r="N34" s="58">
        <f>'Statement Q'!G36</f>
        <v>215409</v>
      </c>
      <c r="O34" s="58">
        <f>'Statement Q'!H36</f>
        <v>222641</v>
      </c>
      <c r="P34" s="58">
        <f>'Statement Q'!I36</f>
        <v>240906</v>
      </c>
      <c r="Q34" s="58">
        <f>'Statement Q'!J36</f>
        <v>279843</v>
      </c>
      <c r="S34" s="58">
        <f t="shared" si="4"/>
        <v>279843</v>
      </c>
    </row>
    <row r="35" spans="2:19" outlineLevel="1" x14ac:dyDescent="0.2">
      <c r="B35" s="9" t="s">
        <v>24</v>
      </c>
      <c r="C35" s="120">
        <f>'Statement Y'!C37</f>
        <v>26660</v>
      </c>
      <c r="D35" s="120">
        <f>'Statement Y'!D37</f>
        <v>34645</v>
      </c>
      <c r="E35" s="120">
        <f>'Statement Y'!E37</f>
        <v>21670</v>
      </c>
      <c r="F35" s="120">
        <f>'Statement Y'!F37</f>
        <v>16902</v>
      </c>
      <c r="G35" s="120">
        <f>'Statement Y'!G37</f>
        <v>23651</v>
      </c>
      <c r="H35" s="120">
        <f>'Statement Y'!H37</f>
        <v>20332</v>
      </c>
      <c r="J35" s="34">
        <f>'Statement Q'!C37</f>
        <v>0</v>
      </c>
      <c r="K35" s="34">
        <f>'Statement Q'!D37</f>
        <v>0</v>
      </c>
      <c r="L35" s="34">
        <f>'Statement Q'!E37</f>
        <v>0</v>
      </c>
      <c r="M35" s="34">
        <f>'Statement Q'!F37</f>
        <v>0</v>
      </c>
      <c r="N35" s="34">
        <f>'Statement Q'!G37</f>
        <v>23492</v>
      </c>
      <c r="O35" s="34">
        <f>'Statement Q'!H37</f>
        <v>22769</v>
      </c>
      <c r="P35" s="34">
        <f>'Statement Q'!I37</f>
        <v>21111</v>
      </c>
      <c r="Q35" s="34">
        <f>'Statement Q'!J37</f>
        <v>20332</v>
      </c>
      <c r="S35" s="34">
        <f t="shared" si="4"/>
        <v>20332</v>
      </c>
    </row>
    <row r="36" spans="2:19" outlineLevel="1" x14ac:dyDescent="0.2">
      <c r="B36" s="9" t="s">
        <v>127</v>
      </c>
      <c r="C36" s="120">
        <f>'Statement Y'!C38</f>
        <v>10476</v>
      </c>
      <c r="D36" s="120">
        <f>'Statement Y'!D38</f>
        <v>17643</v>
      </c>
      <c r="E36" s="120">
        <f>'Statement Y'!E38</f>
        <v>35150</v>
      </c>
      <c r="F36" s="120">
        <f>'Statement Y'!F38</f>
        <v>46139</v>
      </c>
      <c r="G36" s="120">
        <f>'Statement Y'!G38</f>
        <v>52763</v>
      </c>
      <c r="H36" s="120">
        <f>'Statement Y'!H38</f>
        <v>54270</v>
      </c>
      <c r="J36" s="34">
        <f>'Statement Q'!C38</f>
        <v>0</v>
      </c>
      <c r="K36" s="34">
        <f>'Statement Q'!D38</f>
        <v>0</v>
      </c>
      <c r="L36" s="34">
        <f>'Statement Q'!E38</f>
        <v>0</v>
      </c>
      <c r="M36" s="34">
        <f>'Statement Q'!F38</f>
        <v>0</v>
      </c>
      <c r="N36" s="34">
        <f>'Statement Q'!G38</f>
        <v>53531</v>
      </c>
      <c r="O36" s="34">
        <f>'Statement Q'!H38</f>
        <v>53881</v>
      </c>
      <c r="P36" s="34">
        <f>'Statement Q'!I38</f>
        <v>54093</v>
      </c>
      <c r="Q36" s="34">
        <f>'Statement Q'!J38</f>
        <v>54270</v>
      </c>
      <c r="S36" s="34">
        <f t="shared" si="4"/>
        <v>54270</v>
      </c>
    </row>
    <row r="37" spans="2:19" outlineLevel="1" x14ac:dyDescent="0.2">
      <c r="B37" s="9" t="s">
        <v>97</v>
      </c>
      <c r="C37" s="120">
        <f>'Statement Y'!C39</f>
        <v>2654</v>
      </c>
      <c r="D37" s="120">
        <f>'Statement Y'!D39</f>
        <v>2337</v>
      </c>
      <c r="E37" s="120">
        <f>'Statement Y'!E39</f>
        <v>569</v>
      </c>
      <c r="F37" s="120">
        <f>'Statement Y'!F39</f>
        <v>266</v>
      </c>
      <c r="G37" s="120">
        <f>'Statement Y'!G39</f>
        <v>1477</v>
      </c>
      <c r="H37" s="120">
        <f>'Statement Y'!H39</f>
        <v>2002</v>
      </c>
      <c r="J37" s="34">
        <f>'Statement Q'!C39</f>
        <v>0</v>
      </c>
      <c r="K37" s="34">
        <f>'Statement Q'!D39</f>
        <v>0</v>
      </c>
      <c r="L37" s="34">
        <f>'Statement Q'!E39</f>
        <v>0</v>
      </c>
      <c r="M37" s="34">
        <f>'Statement Q'!F39</f>
        <v>0</v>
      </c>
      <c r="N37" s="34">
        <f>'Statement Q'!G39</f>
        <v>1262</v>
      </c>
      <c r="O37" s="34">
        <f>'Statement Q'!H39</f>
        <v>1043</v>
      </c>
      <c r="P37" s="34">
        <f>'Statement Q'!I39</f>
        <v>820</v>
      </c>
      <c r="Q37" s="34">
        <f>'Statement Q'!J39</f>
        <v>2002</v>
      </c>
      <c r="S37" s="34">
        <f t="shared" si="4"/>
        <v>2002</v>
      </c>
    </row>
    <row r="38" spans="2:19" outlineLevel="1" x14ac:dyDescent="0.2">
      <c r="B38" s="9" t="s">
        <v>125</v>
      </c>
      <c r="C38" s="120">
        <f>'Statement Y'!C40</f>
        <v>1248</v>
      </c>
      <c r="D38" s="120">
        <f>'Statement Y'!D40</f>
        <v>2437</v>
      </c>
      <c r="E38" s="120">
        <f>'Statement Y'!E40</f>
        <v>1754</v>
      </c>
      <c r="F38" s="120">
        <f>'Statement Y'!F40</f>
        <v>986</v>
      </c>
      <c r="G38" s="120">
        <f>'Statement Y'!G40</f>
        <v>583</v>
      </c>
      <c r="H38" s="120">
        <f>'Statement Y'!H40</f>
        <v>338</v>
      </c>
      <c r="J38" s="34">
        <f>'Statement Q'!C40</f>
        <v>0</v>
      </c>
      <c r="K38" s="34">
        <f>'Statement Q'!D40</f>
        <v>0</v>
      </c>
      <c r="L38" s="34">
        <f>'Statement Q'!E40</f>
        <v>0</v>
      </c>
      <c r="M38" s="34">
        <f>'Statement Q'!F40</f>
        <v>0</v>
      </c>
      <c r="N38" s="34">
        <f>'Statement Q'!G40</f>
        <v>460</v>
      </c>
      <c r="O38" s="34">
        <f>'Statement Q'!H40</f>
        <v>551</v>
      </c>
      <c r="P38" s="34">
        <f>'Statement Q'!I40</f>
        <v>444</v>
      </c>
      <c r="Q38" s="34">
        <f>'Statement Q'!J40</f>
        <v>338</v>
      </c>
      <c r="S38" s="34">
        <f t="shared" si="4"/>
        <v>338</v>
      </c>
    </row>
    <row r="39" spans="2:19" outlineLevel="1" x14ac:dyDescent="0.2">
      <c r="B39" s="9" t="s">
        <v>105</v>
      </c>
      <c r="C39" s="120">
        <f>'Statement Y'!C41</f>
        <v>2725</v>
      </c>
      <c r="D39" s="120">
        <f>'Statement Y'!D41</f>
        <v>12772</v>
      </c>
      <c r="E39" s="120">
        <f>'Statement Y'!E41</f>
        <v>11401</v>
      </c>
      <c r="F39" s="120">
        <f>'Statement Y'!F41</f>
        <v>31625</v>
      </c>
      <c r="G39" s="120">
        <f>'Statement Y'!G41</f>
        <v>28143</v>
      </c>
      <c r="H39" s="120">
        <f>'Statement Y'!H41</f>
        <v>79761</v>
      </c>
      <c r="J39" s="34">
        <f>'Statement Q'!C41</f>
        <v>0</v>
      </c>
      <c r="K39" s="34">
        <f>'Statement Q'!D41</f>
        <v>0</v>
      </c>
      <c r="L39" s="34">
        <f>'Statement Q'!E41</f>
        <v>0</v>
      </c>
      <c r="M39" s="34">
        <f>'Statement Q'!F41</f>
        <v>0</v>
      </c>
      <c r="N39" s="34">
        <f>'Statement Q'!G41</f>
        <v>27273</v>
      </c>
      <c r="O39" s="34">
        <f>'Statement Q'!H41</f>
        <v>26403</v>
      </c>
      <c r="P39" s="34">
        <f>'Statement Q'!I41</f>
        <v>25532</v>
      </c>
      <c r="Q39" s="34">
        <f>'Statement Q'!J41</f>
        <v>79761</v>
      </c>
      <c r="S39" s="34">
        <f t="shared" si="4"/>
        <v>79761</v>
      </c>
    </row>
    <row r="40" spans="2:19" outlineLevel="1" x14ac:dyDescent="0.2">
      <c r="B40" s="9" t="s">
        <v>23</v>
      </c>
      <c r="C40" s="120">
        <f>'Statement Y'!C42</f>
        <v>658</v>
      </c>
      <c r="D40" s="120">
        <f>'Statement Y'!D42</f>
        <v>515</v>
      </c>
      <c r="E40" s="120">
        <f>'Statement Y'!E42</f>
        <v>81</v>
      </c>
      <c r="F40" s="120">
        <f>'Statement Y'!F42</f>
        <v>0</v>
      </c>
      <c r="G40" s="120">
        <f>'Statement Y'!G42</f>
        <v>0</v>
      </c>
      <c r="H40" s="120">
        <f>'Statement Y'!H42</f>
        <v>1593</v>
      </c>
      <c r="J40" s="34">
        <f>'Statement Q'!C42</f>
        <v>0</v>
      </c>
      <c r="K40" s="34">
        <f>'Statement Q'!D42</f>
        <v>0</v>
      </c>
      <c r="L40" s="34">
        <f>'Statement Q'!E42</f>
        <v>0</v>
      </c>
      <c r="M40" s="34">
        <f>'Statement Q'!F42</f>
        <v>0</v>
      </c>
      <c r="N40" s="34">
        <f>'Statement Q'!G42</f>
        <v>0</v>
      </c>
      <c r="O40" s="34">
        <f>'Statement Q'!H42</f>
        <v>1640</v>
      </c>
      <c r="P40" s="34">
        <f>'Statement Q'!I42</f>
        <v>1640</v>
      </c>
      <c r="Q40" s="34">
        <f>'Statement Q'!J42</f>
        <v>1593</v>
      </c>
      <c r="S40" s="34">
        <f t="shared" si="4"/>
        <v>1593</v>
      </c>
    </row>
    <row r="41" spans="2:19" outlineLevel="1" x14ac:dyDescent="0.2">
      <c r="B41" s="9" t="s">
        <v>25</v>
      </c>
      <c r="C41" s="120">
        <f>'Statement Y'!C43</f>
        <v>8307</v>
      </c>
      <c r="D41" s="120">
        <f>'Statement Y'!D43</f>
        <v>33621</v>
      </c>
      <c r="E41" s="120">
        <f>'Statement Y'!E43</f>
        <v>33736</v>
      </c>
      <c r="F41" s="120">
        <f>'Statement Y'!F43</f>
        <v>75845</v>
      </c>
      <c r="G41" s="120">
        <f>'Statement Y'!G43</f>
        <v>75845</v>
      </c>
      <c r="H41" s="120">
        <f>'Statement Y'!H43</f>
        <v>170064</v>
      </c>
      <c r="J41" s="34">
        <f>'Statement Q'!C43</f>
        <v>0</v>
      </c>
      <c r="K41" s="34">
        <f>'Statement Q'!D43</f>
        <v>0</v>
      </c>
      <c r="L41" s="34">
        <f>'Statement Q'!E43</f>
        <v>0</v>
      </c>
      <c r="M41" s="34">
        <f>'Statement Q'!F43</f>
        <v>0</v>
      </c>
      <c r="N41" s="34">
        <f>'Statement Q'!G43</f>
        <v>75845</v>
      </c>
      <c r="O41" s="34">
        <f>'Statement Q'!H43</f>
        <v>75845</v>
      </c>
      <c r="P41" s="34">
        <f>'Statement Q'!I43</f>
        <v>75845</v>
      </c>
      <c r="Q41" s="34">
        <f>'Statement Q'!J43</f>
        <v>170064</v>
      </c>
      <c r="S41" s="34">
        <f t="shared" si="4"/>
        <v>170064</v>
      </c>
    </row>
    <row r="42" spans="2:19" outlineLevel="1" x14ac:dyDescent="0.2">
      <c r="B42" s="9" t="s">
        <v>26</v>
      </c>
      <c r="C42" s="120">
        <f>'Statement Y'!C44</f>
        <v>1670</v>
      </c>
      <c r="D42" s="120">
        <f>'Statement Y'!D44</f>
        <v>4157</v>
      </c>
      <c r="E42" s="120">
        <f>'Statement Y'!E44</f>
        <v>3255</v>
      </c>
      <c r="F42" s="120">
        <f>'Statement Y'!F44</f>
        <v>2879</v>
      </c>
      <c r="G42" s="120">
        <f>'Statement Y'!G44</f>
        <v>2668</v>
      </c>
      <c r="H42" s="120">
        <f>'Statement Y'!H44</f>
        <v>2442</v>
      </c>
      <c r="J42" s="34">
        <f>'Statement Q'!C44</f>
        <v>0</v>
      </c>
      <c r="K42" s="34">
        <f>'Statement Q'!D44</f>
        <v>0</v>
      </c>
      <c r="L42" s="34">
        <f>'Statement Q'!E44</f>
        <v>0</v>
      </c>
      <c r="M42" s="34">
        <f>'Statement Q'!F44</f>
        <v>0</v>
      </c>
      <c r="N42" s="34">
        <f>'Statement Q'!G44</f>
        <v>3123</v>
      </c>
      <c r="O42" s="34">
        <f>'Statement Q'!H44</f>
        <v>3856</v>
      </c>
      <c r="P42" s="34">
        <f>'Statement Q'!I44</f>
        <v>3081</v>
      </c>
      <c r="Q42" s="34">
        <f>'Statement Q'!J44</f>
        <v>2442</v>
      </c>
      <c r="S42" s="34">
        <f t="shared" si="4"/>
        <v>2442</v>
      </c>
    </row>
    <row r="43" spans="2:19" outlineLevel="1" x14ac:dyDescent="0.2">
      <c r="B43" s="134" t="s">
        <v>229</v>
      </c>
      <c r="C43" s="120">
        <f>'Statement Y'!C45</f>
        <v>0</v>
      </c>
      <c r="D43" s="120">
        <f>'Statement Y'!D45</f>
        <v>0</v>
      </c>
      <c r="E43" s="120">
        <f>'Statement Y'!E45</f>
        <v>0</v>
      </c>
      <c r="F43" s="120">
        <f>'Statement Y'!F45</f>
        <v>0</v>
      </c>
      <c r="G43" s="120">
        <f>'Statement Y'!G45</f>
        <v>0</v>
      </c>
      <c r="H43" s="120">
        <f>'Statement Y'!H45</f>
        <v>47723</v>
      </c>
      <c r="J43" s="34">
        <f>'Statement Q'!C45</f>
        <v>0</v>
      </c>
      <c r="K43" s="34">
        <f>'Statement Q'!D45</f>
        <v>0</v>
      </c>
      <c r="L43" s="34">
        <f>'Statement Q'!E45</f>
        <v>0</v>
      </c>
      <c r="M43" s="34">
        <f>'Statement Q'!F45</f>
        <v>0</v>
      </c>
      <c r="N43" s="34">
        <f>'Statement Q'!G45</f>
        <v>0</v>
      </c>
      <c r="O43" s="34">
        <f>'Statement Q'!H45</f>
        <v>0</v>
      </c>
      <c r="P43" s="34">
        <f>'Statement Q'!I45</f>
        <v>0</v>
      </c>
      <c r="Q43" s="34">
        <f>'Statement Q'!J45</f>
        <v>47723</v>
      </c>
      <c r="S43" s="34">
        <f t="shared" si="4"/>
        <v>47723</v>
      </c>
    </row>
    <row r="44" spans="2:19" outlineLevel="1" x14ac:dyDescent="0.2">
      <c r="B44" s="134" t="s">
        <v>230</v>
      </c>
      <c r="C44" s="120">
        <f>'Statement Y'!C46</f>
        <v>0</v>
      </c>
      <c r="D44" s="120">
        <f>'Statement Y'!D46</f>
        <v>0</v>
      </c>
      <c r="E44" s="120">
        <f>'Statement Y'!E46</f>
        <v>0</v>
      </c>
      <c r="F44" s="120">
        <f>'Statement Y'!F46</f>
        <v>0</v>
      </c>
      <c r="G44" s="120">
        <f>'Statement Y'!G46</f>
        <v>0</v>
      </c>
      <c r="H44" s="120">
        <f>'Statement Y'!H46</f>
        <v>5422</v>
      </c>
      <c r="J44" s="34">
        <f>'Statement Q'!C46</f>
        <v>0</v>
      </c>
      <c r="K44" s="34">
        <f>'Statement Q'!D46</f>
        <v>0</v>
      </c>
      <c r="L44" s="34">
        <f>'Statement Q'!E46</f>
        <v>0</v>
      </c>
      <c r="M44" s="34">
        <f>'Statement Q'!F46</f>
        <v>0</v>
      </c>
      <c r="N44" s="34">
        <f>'Statement Q'!G46</f>
        <v>0</v>
      </c>
      <c r="O44" s="34">
        <f>'Statement Q'!H46</f>
        <v>0</v>
      </c>
      <c r="P44" s="34">
        <f>'Statement Q'!I46</f>
        <v>0</v>
      </c>
      <c r="Q44" s="34">
        <f>'Statement Q'!J46</f>
        <v>5422</v>
      </c>
      <c r="S44" s="34">
        <f t="shared" si="4"/>
        <v>5422</v>
      </c>
    </row>
    <row r="45" spans="2:19" outlineLevel="1" x14ac:dyDescent="0.2">
      <c r="B45" s="11" t="s">
        <v>27</v>
      </c>
      <c r="C45" s="122">
        <f>'Statement Y'!C47</f>
        <v>54398</v>
      </c>
      <c r="D45" s="122">
        <f>'Statement Y'!D47</f>
        <v>108127</v>
      </c>
      <c r="E45" s="122">
        <f>'Statement Y'!E47</f>
        <v>107616</v>
      </c>
      <c r="F45" s="122">
        <f>'Statement Y'!F47</f>
        <v>174642</v>
      </c>
      <c r="G45" s="122">
        <f>'Statement Y'!G47</f>
        <v>185130</v>
      </c>
      <c r="H45" s="122">
        <f>'Statement Y'!H47</f>
        <v>330802</v>
      </c>
      <c r="J45" s="58">
        <f>'Statement Q'!C47</f>
        <v>0</v>
      </c>
      <c r="K45" s="58">
        <f>'Statement Q'!D47</f>
        <v>0</v>
      </c>
      <c r="L45" s="58">
        <f>'Statement Q'!E47</f>
        <v>0</v>
      </c>
      <c r="M45" s="58">
        <f>'Statement Q'!F47</f>
        <v>0</v>
      </c>
      <c r="N45" s="58">
        <f>'Statement Q'!G47</f>
        <v>184986</v>
      </c>
      <c r="O45" s="58">
        <f>'Statement Q'!H47</f>
        <v>185988</v>
      </c>
      <c r="P45" s="58">
        <f>'Statement Q'!I47</f>
        <v>182566</v>
      </c>
      <c r="Q45" s="58">
        <f>'Statement Q'!J47</f>
        <v>330802</v>
      </c>
      <c r="S45" s="58">
        <f t="shared" si="4"/>
        <v>330802</v>
      </c>
    </row>
    <row r="46" spans="2:19" outlineLevel="1" x14ac:dyDescent="0.2">
      <c r="B46" s="17" t="s">
        <v>28</v>
      </c>
      <c r="C46" s="119">
        <f>'Statement Y'!C48</f>
        <v>326666</v>
      </c>
      <c r="D46" s="119">
        <f>'Statement Y'!D48</f>
        <v>494476</v>
      </c>
      <c r="E46" s="119">
        <f>'Statement Y'!E48</f>
        <v>370057</v>
      </c>
      <c r="F46" s="119">
        <f>'Statement Y'!F48</f>
        <v>370326</v>
      </c>
      <c r="G46" s="119">
        <f>'Statement Y'!G48</f>
        <v>388415</v>
      </c>
      <c r="H46" s="119">
        <f>'Statement Y'!H48</f>
        <v>663790</v>
      </c>
      <c r="J46" s="56">
        <f>'Statement Q'!C48</f>
        <v>0</v>
      </c>
      <c r="K46" s="56">
        <f>'Statement Q'!D48</f>
        <v>0</v>
      </c>
      <c r="L46" s="56">
        <f>'Statement Q'!E48</f>
        <v>0</v>
      </c>
      <c r="M46" s="56">
        <f>'Statement Q'!F48</f>
        <v>0</v>
      </c>
      <c r="N46" s="56">
        <f>'Statement Q'!G48</f>
        <v>400395</v>
      </c>
      <c r="O46" s="56">
        <f>'Statement Q'!H48</f>
        <v>408629</v>
      </c>
      <c r="P46" s="56">
        <f>'Statement Q'!I48</f>
        <v>423472</v>
      </c>
      <c r="Q46" s="56">
        <f>'Statement Q'!J48</f>
        <v>663790</v>
      </c>
      <c r="S46" s="56">
        <f t="shared" si="4"/>
        <v>663790</v>
      </c>
    </row>
    <row r="47" spans="2:19" outlineLevel="1" x14ac:dyDescent="0.2">
      <c r="B47" s="9" t="s">
        <v>128</v>
      </c>
      <c r="C47" s="120">
        <f>'Statement Y'!C49</f>
        <v>15488</v>
      </c>
      <c r="D47" s="120">
        <f>'Statement Y'!D49</f>
        <v>19590</v>
      </c>
      <c r="E47" s="120">
        <f>'Statement Y'!E49</f>
        <v>22599</v>
      </c>
      <c r="F47" s="120">
        <f>'Statement Y'!F49</f>
        <v>28072</v>
      </c>
      <c r="G47" s="120">
        <f>'Statement Y'!G49</f>
        <v>29176</v>
      </c>
      <c r="H47" s="120">
        <f>'Statement Y'!H49</f>
        <v>32999</v>
      </c>
      <c r="J47" s="34">
        <f>'Statement Q'!C49</f>
        <v>0</v>
      </c>
      <c r="K47" s="34">
        <f>'Statement Q'!D49</f>
        <v>0</v>
      </c>
      <c r="L47" s="34">
        <f>'Statement Q'!E49</f>
        <v>0</v>
      </c>
      <c r="M47" s="34">
        <f>'Statement Q'!F49</f>
        <v>0</v>
      </c>
      <c r="N47" s="34">
        <f>'Statement Q'!G49</f>
        <v>33006</v>
      </c>
      <c r="O47" s="34">
        <f>'Statement Q'!H49</f>
        <v>28875</v>
      </c>
      <c r="P47" s="34">
        <f>'Statement Q'!I49</f>
        <v>25391</v>
      </c>
      <c r="Q47" s="34">
        <f>'Statement Q'!J49</f>
        <v>32999</v>
      </c>
      <c r="S47" s="34">
        <f t="shared" si="4"/>
        <v>32999</v>
      </c>
    </row>
    <row r="48" spans="2:19" outlineLevel="1" x14ac:dyDescent="0.2">
      <c r="B48" s="9" t="s">
        <v>129</v>
      </c>
      <c r="C48" s="120">
        <f>'Statement Y'!C50</f>
        <v>4864</v>
      </c>
      <c r="D48" s="120">
        <f>'Statement Y'!D50</f>
        <v>5821</v>
      </c>
      <c r="E48" s="120">
        <f>'Statement Y'!E50</f>
        <v>5172</v>
      </c>
      <c r="F48" s="120">
        <f>'Statement Y'!F50</f>
        <v>6056</v>
      </c>
      <c r="G48" s="120">
        <f>'Statement Y'!G50</f>
        <v>8043</v>
      </c>
      <c r="H48" s="120">
        <f>'Statement Y'!H50</f>
        <v>7971</v>
      </c>
      <c r="J48" s="34">
        <f>'Statement Q'!C50</f>
        <v>0</v>
      </c>
      <c r="K48" s="34">
        <f>'Statement Q'!D50</f>
        <v>0</v>
      </c>
      <c r="L48" s="34">
        <f>'Statement Q'!E50</f>
        <v>0</v>
      </c>
      <c r="M48" s="34">
        <f>'Statement Q'!F50</f>
        <v>0</v>
      </c>
      <c r="N48" s="34">
        <f>'Statement Q'!G50</f>
        <v>8348</v>
      </c>
      <c r="O48" s="34">
        <f>'Statement Q'!H50</f>
        <v>7096</v>
      </c>
      <c r="P48" s="34">
        <f>'Statement Q'!I50</f>
        <v>6199</v>
      </c>
      <c r="Q48" s="34">
        <f>'Statement Q'!J50</f>
        <v>7971</v>
      </c>
      <c r="S48" s="34">
        <f t="shared" si="4"/>
        <v>7971</v>
      </c>
    </row>
    <row r="49" spans="2:19" outlineLevel="1" x14ac:dyDescent="0.2">
      <c r="B49" s="9" t="s">
        <v>130</v>
      </c>
      <c r="C49" s="120">
        <f>'Statement Y'!C51</f>
        <v>1087</v>
      </c>
      <c r="D49" s="120">
        <f>'Statement Y'!D51</f>
        <v>1281</v>
      </c>
      <c r="E49" s="120">
        <f>'Statement Y'!E51</f>
        <v>934</v>
      </c>
      <c r="F49" s="120">
        <f>'Statement Y'!F51</f>
        <v>393</v>
      </c>
      <c r="G49" s="120">
        <f>'Statement Y'!G51</f>
        <v>964</v>
      </c>
      <c r="H49" s="120">
        <f>'Statement Y'!H51</f>
        <v>1254</v>
      </c>
      <c r="J49" s="34">
        <f>'Statement Q'!C51</f>
        <v>0</v>
      </c>
      <c r="K49" s="34">
        <f>'Statement Q'!D51</f>
        <v>0</v>
      </c>
      <c r="L49" s="34">
        <f>'Statement Q'!E51</f>
        <v>0</v>
      </c>
      <c r="M49" s="34">
        <f>'Statement Q'!F51</f>
        <v>0</v>
      </c>
      <c r="N49" s="34">
        <f>'Statement Q'!G51</f>
        <v>957</v>
      </c>
      <c r="O49" s="34">
        <f>'Statement Q'!H51</f>
        <v>941</v>
      </c>
      <c r="P49" s="34">
        <f>'Statement Q'!I51</f>
        <v>746</v>
      </c>
      <c r="Q49" s="34">
        <f>'Statement Q'!J51</f>
        <v>1254</v>
      </c>
      <c r="S49" s="34">
        <f t="shared" si="4"/>
        <v>1254</v>
      </c>
    </row>
    <row r="50" spans="2:19" outlineLevel="1" x14ac:dyDescent="0.2">
      <c r="B50" s="9" t="s">
        <v>29</v>
      </c>
      <c r="C50" s="120">
        <f>'Statement Y'!C52</f>
        <v>4389</v>
      </c>
      <c r="D50" s="120">
        <f>'Statement Y'!D52</f>
        <v>5119</v>
      </c>
      <c r="E50" s="120">
        <f>'Statement Y'!E52</f>
        <v>10836</v>
      </c>
      <c r="F50" s="120">
        <f>'Statement Y'!F52</f>
        <v>8480</v>
      </c>
      <c r="G50" s="120">
        <f>'Statement Y'!G52</f>
        <v>5622</v>
      </c>
      <c r="H50" s="120">
        <f>'Statement Y'!H52</f>
        <v>11477</v>
      </c>
      <c r="J50" s="34">
        <f>'Statement Q'!C52</f>
        <v>0</v>
      </c>
      <c r="K50" s="34">
        <f>'Statement Q'!D52</f>
        <v>0</v>
      </c>
      <c r="L50" s="34">
        <f>'Statement Q'!E52</f>
        <v>0</v>
      </c>
      <c r="M50" s="34">
        <f>'Statement Q'!F52</f>
        <v>0</v>
      </c>
      <c r="N50" s="34">
        <f>'Statement Q'!G52</f>
        <v>3204</v>
      </c>
      <c r="O50" s="34">
        <f>'Statement Q'!H52</f>
        <v>6527</v>
      </c>
      <c r="P50" s="34">
        <f>'Statement Q'!I52</f>
        <v>6218</v>
      </c>
      <c r="Q50" s="34">
        <f>'Statement Q'!J52</f>
        <v>11477</v>
      </c>
      <c r="S50" s="34">
        <f t="shared" si="4"/>
        <v>11477</v>
      </c>
    </row>
    <row r="51" spans="2:19" outlineLevel="1" x14ac:dyDescent="0.2">
      <c r="B51" s="9" t="s">
        <v>131</v>
      </c>
      <c r="C51" s="120">
        <f>'Statement Y'!C53</f>
        <v>18324</v>
      </c>
      <c r="D51" s="120">
        <f>'Statement Y'!D53</f>
        <v>20128</v>
      </c>
      <c r="E51" s="120">
        <f>'Statement Y'!E53</f>
        <v>21810</v>
      </c>
      <c r="F51" s="120">
        <f>'Statement Y'!F53</f>
        <v>37130</v>
      </c>
      <c r="G51" s="120">
        <f>'Statement Y'!G53</f>
        <v>37460</v>
      </c>
      <c r="H51" s="120">
        <f>'Statement Y'!H53</f>
        <v>41257</v>
      </c>
      <c r="J51" s="34">
        <f>'Statement Q'!C53</f>
        <v>0</v>
      </c>
      <c r="K51" s="34">
        <f>'Statement Q'!D53</f>
        <v>0</v>
      </c>
      <c r="L51" s="34">
        <f>'Statement Q'!E53</f>
        <v>0</v>
      </c>
      <c r="M51" s="34">
        <f>'Statement Q'!F53</f>
        <v>0</v>
      </c>
      <c r="N51" s="34">
        <f>'Statement Q'!G53</f>
        <v>34059</v>
      </c>
      <c r="O51" s="34">
        <f>'Statement Q'!H53</f>
        <v>34783</v>
      </c>
      <c r="P51" s="34">
        <f>'Statement Q'!I53</f>
        <v>30517</v>
      </c>
      <c r="Q51" s="34">
        <f>'Statement Q'!J53</f>
        <v>41257</v>
      </c>
      <c r="S51" s="34">
        <f t="shared" si="4"/>
        <v>41257</v>
      </c>
    </row>
    <row r="52" spans="2:19" outlineLevel="1" x14ac:dyDescent="0.2">
      <c r="B52" s="134" t="s">
        <v>232</v>
      </c>
      <c r="C52" s="120">
        <f>'Statement Y'!C54</f>
        <v>0</v>
      </c>
      <c r="D52" s="120">
        <f>'Statement Y'!D54</f>
        <v>0</v>
      </c>
      <c r="E52" s="120">
        <f>'Statement Y'!E54</f>
        <v>0</v>
      </c>
      <c r="F52" s="120">
        <f>'Statement Y'!F54</f>
        <v>0</v>
      </c>
      <c r="G52" s="120">
        <f>'Statement Y'!G54</f>
        <v>0</v>
      </c>
      <c r="H52" s="120">
        <f>'Statement Y'!H54</f>
        <v>38056</v>
      </c>
      <c r="J52" s="34">
        <f>'Statement Q'!C54</f>
        <v>0</v>
      </c>
      <c r="K52" s="34">
        <f>'Statement Q'!D54</f>
        <v>0</v>
      </c>
      <c r="L52" s="34">
        <f>'Statement Q'!E54</f>
        <v>0</v>
      </c>
      <c r="M52" s="34">
        <f>'Statement Q'!F54</f>
        <v>0</v>
      </c>
      <c r="N52" s="34">
        <f>'Statement Q'!G54</f>
        <v>0</v>
      </c>
      <c r="O52" s="34">
        <f>'Statement Q'!H54</f>
        <v>0</v>
      </c>
      <c r="P52" s="34">
        <f>'Statement Q'!I54</f>
        <v>0</v>
      </c>
      <c r="Q52" s="34">
        <f>'Statement Q'!J54</f>
        <v>38056</v>
      </c>
      <c r="S52" s="34">
        <f t="shared" si="4"/>
        <v>38056</v>
      </c>
    </row>
    <row r="53" spans="2:19" outlineLevel="1" x14ac:dyDescent="0.2">
      <c r="B53" s="9" t="s">
        <v>132</v>
      </c>
      <c r="C53" s="120">
        <f>'Statement Y'!C55</f>
        <v>10838</v>
      </c>
      <c r="D53" s="120">
        <f>'Statement Y'!D55</f>
        <v>16493</v>
      </c>
      <c r="E53" s="120">
        <f>'Statement Y'!E55</f>
        <v>17688</v>
      </c>
      <c r="F53" s="120">
        <f>'Statement Y'!F55</f>
        <v>24113</v>
      </c>
      <c r="G53" s="120">
        <f>'Statement Y'!G55</f>
        <v>32758</v>
      </c>
      <c r="H53" s="120">
        <f>'Statement Y'!H55</f>
        <v>49522</v>
      </c>
      <c r="J53" s="34">
        <f>'Statement Q'!C55</f>
        <v>0</v>
      </c>
      <c r="K53" s="34">
        <f>'Statement Q'!D55</f>
        <v>0</v>
      </c>
      <c r="L53" s="34">
        <f>'Statement Q'!E55</f>
        <v>0</v>
      </c>
      <c r="M53" s="34">
        <f>'Statement Q'!F55</f>
        <v>0</v>
      </c>
      <c r="N53" s="34">
        <f>'Statement Q'!G55</f>
        <v>31146</v>
      </c>
      <c r="O53" s="34">
        <f>'Statement Q'!H55</f>
        <v>26913</v>
      </c>
      <c r="P53" s="34">
        <f>'Statement Q'!I55</f>
        <v>29712</v>
      </c>
      <c r="Q53" s="34">
        <f>'Statement Q'!J55</f>
        <v>49522</v>
      </c>
      <c r="S53" s="34">
        <f t="shared" si="4"/>
        <v>49522</v>
      </c>
    </row>
    <row r="54" spans="2:19" outlineLevel="1" x14ac:dyDescent="0.2">
      <c r="B54" s="9" t="s">
        <v>133</v>
      </c>
      <c r="C54" s="120">
        <f>'Statement Y'!C56</f>
        <v>0</v>
      </c>
      <c r="D54" s="120">
        <f>'Statement Y'!D56</f>
        <v>0</v>
      </c>
      <c r="E54" s="120">
        <f>'Statement Y'!E56</f>
        <v>0</v>
      </c>
      <c r="F54" s="120">
        <f>'Statement Y'!F56</f>
        <v>5875</v>
      </c>
      <c r="G54" s="120">
        <f>'Statement Y'!G56</f>
        <v>0</v>
      </c>
      <c r="H54" s="120">
        <f>'Statement Y'!H56</f>
        <v>705</v>
      </c>
      <c r="J54" s="34">
        <f>'Statement Q'!C56</f>
        <v>0</v>
      </c>
      <c r="K54" s="34">
        <f>'Statement Q'!D56</f>
        <v>0</v>
      </c>
      <c r="L54" s="34">
        <f>'Statement Q'!E56</f>
        <v>0</v>
      </c>
      <c r="M54" s="34">
        <f>'Statement Q'!F56</f>
        <v>0</v>
      </c>
      <c r="N54" s="34">
        <f>'Statement Q'!G56</f>
        <v>0</v>
      </c>
      <c r="O54" s="34">
        <f>'Statement Q'!H56</f>
        <v>0</v>
      </c>
      <c r="P54" s="34">
        <f>'Statement Q'!I56</f>
        <v>0</v>
      </c>
      <c r="Q54" s="34">
        <f>'Statement Q'!J56</f>
        <v>705</v>
      </c>
      <c r="S54" s="34">
        <f t="shared" si="4"/>
        <v>705</v>
      </c>
    </row>
    <row r="55" spans="2:19" outlineLevel="1" x14ac:dyDescent="0.2">
      <c r="B55" s="11" t="s">
        <v>32</v>
      </c>
      <c r="C55" s="122">
        <f>'Statement Y'!C57</f>
        <v>54990</v>
      </c>
      <c r="D55" s="122">
        <f>'Statement Y'!D57</f>
        <v>68432</v>
      </c>
      <c r="E55" s="122">
        <f>'Statement Y'!E57</f>
        <v>79039</v>
      </c>
      <c r="F55" s="122">
        <f>'Statement Y'!F57</f>
        <v>110119</v>
      </c>
      <c r="G55" s="122">
        <f>'Statement Y'!G57</f>
        <v>114023</v>
      </c>
      <c r="H55" s="122">
        <f>'Statement Y'!H57</f>
        <v>183241</v>
      </c>
      <c r="J55" s="58">
        <f>'Statement Q'!C57</f>
        <v>0</v>
      </c>
      <c r="K55" s="58">
        <f>'Statement Q'!D57</f>
        <v>0</v>
      </c>
      <c r="L55" s="58">
        <f>'Statement Q'!E57</f>
        <v>0</v>
      </c>
      <c r="M55" s="58">
        <f>'Statement Q'!F57</f>
        <v>0</v>
      </c>
      <c r="N55" s="58">
        <f>'Statement Q'!G57</f>
        <v>110720</v>
      </c>
      <c r="O55" s="58">
        <f>'Statement Q'!H57</f>
        <v>105135</v>
      </c>
      <c r="P55" s="58">
        <f>'Statement Q'!I57</f>
        <v>98783</v>
      </c>
      <c r="Q55" s="58">
        <f>'Statement Q'!J57</f>
        <v>183241</v>
      </c>
      <c r="S55" s="58">
        <f t="shared" si="4"/>
        <v>183241</v>
      </c>
    </row>
    <row r="56" spans="2:19" outlineLevel="1" x14ac:dyDescent="0.2">
      <c r="B56" s="9" t="s">
        <v>134</v>
      </c>
      <c r="C56" s="120">
        <f>'Statement Y'!C58</f>
        <v>6471</v>
      </c>
      <c r="D56" s="120">
        <f>'Statement Y'!D58</f>
        <v>7423</v>
      </c>
      <c r="E56" s="120">
        <f>'Statement Y'!E58</f>
        <v>2725</v>
      </c>
      <c r="F56" s="120">
        <f>'Statement Y'!F58</f>
        <v>5400</v>
      </c>
      <c r="G56" s="120">
        <f>'Statement Y'!G58</f>
        <v>8150</v>
      </c>
      <c r="H56" s="120">
        <f>'Statement Y'!H58</f>
        <v>92117</v>
      </c>
      <c r="J56" s="34">
        <f>'Statement Q'!C58</f>
        <v>0</v>
      </c>
      <c r="K56" s="34">
        <f>'Statement Q'!D58</f>
        <v>0</v>
      </c>
      <c r="L56" s="34">
        <f>'Statement Q'!E58</f>
        <v>0</v>
      </c>
      <c r="M56" s="34">
        <f>'Statement Q'!F58</f>
        <v>0</v>
      </c>
      <c r="N56" s="34">
        <f>'Statement Q'!G58</f>
        <v>6162</v>
      </c>
      <c r="O56" s="34">
        <f>'Statement Q'!H58</f>
        <v>4576</v>
      </c>
      <c r="P56" s="34">
        <f>'Statement Q'!I58</f>
        <v>3353</v>
      </c>
      <c r="Q56" s="34">
        <f>'Statement Q'!J58</f>
        <v>92117</v>
      </c>
      <c r="S56" s="34">
        <f t="shared" si="4"/>
        <v>92117</v>
      </c>
    </row>
    <row r="57" spans="2:19" outlineLevel="1" x14ac:dyDescent="0.2">
      <c r="B57" s="9" t="s">
        <v>135</v>
      </c>
      <c r="C57" s="120">
        <f>'Statement Y'!C59</f>
        <v>1899</v>
      </c>
      <c r="D57" s="120">
        <f>'Statement Y'!D59</f>
        <v>1276</v>
      </c>
      <c r="E57" s="120">
        <f>'Statement Y'!E59</f>
        <v>349</v>
      </c>
      <c r="F57" s="120">
        <f>'Statement Y'!F59</f>
        <v>134</v>
      </c>
      <c r="G57" s="120">
        <f>'Statement Y'!G59</f>
        <v>646</v>
      </c>
      <c r="H57" s="120">
        <f>'Statement Y'!H59</f>
        <v>1107</v>
      </c>
      <c r="J57" s="34">
        <f>'Statement Q'!C59</f>
        <v>0</v>
      </c>
      <c r="K57" s="34">
        <f>'Statement Q'!D59</f>
        <v>0</v>
      </c>
      <c r="L57" s="34">
        <f>'Statement Q'!E59</f>
        <v>0</v>
      </c>
      <c r="M57" s="34">
        <f>'Statement Q'!F59</f>
        <v>0</v>
      </c>
      <c r="N57" s="34">
        <f>'Statement Q'!G59</f>
        <v>401</v>
      </c>
      <c r="O57" s="34">
        <f>'Statement Q'!H59</f>
        <v>179</v>
      </c>
      <c r="P57" s="34">
        <f>'Statement Q'!I59</f>
        <v>132</v>
      </c>
      <c r="Q57" s="34">
        <f>'Statement Q'!J59</f>
        <v>1107</v>
      </c>
      <c r="S57" s="34">
        <f t="shared" si="4"/>
        <v>1107</v>
      </c>
    </row>
    <row r="58" spans="2:19" outlineLevel="1" x14ac:dyDescent="0.2">
      <c r="B58" s="134" t="s">
        <v>232</v>
      </c>
      <c r="C58" s="120">
        <f>'Statement Y'!C60</f>
        <v>0</v>
      </c>
      <c r="D58" s="120">
        <f>'Statement Y'!D60</f>
        <v>0</v>
      </c>
      <c r="E58" s="120">
        <f>'Statement Y'!E60</f>
        <v>0</v>
      </c>
      <c r="F58" s="120">
        <f>'Statement Y'!F60</f>
        <v>0</v>
      </c>
      <c r="G58" s="120">
        <f>'Statement Y'!G60</f>
        <v>0</v>
      </c>
      <c r="H58" s="120">
        <f>'Statement Y'!H60</f>
        <v>45329</v>
      </c>
      <c r="J58" s="34">
        <f>'Statement Q'!C60</f>
        <v>0</v>
      </c>
      <c r="K58" s="34">
        <f>'Statement Q'!D60</f>
        <v>0</v>
      </c>
      <c r="L58" s="34">
        <f>'Statement Q'!E60</f>
        <v>0</v>
      </c>
      <c r="M58" s="34">
        <f>'Statement Q'!F60</f>
        <v>0</v>
      </c>
      <c r="N58" s="34">
        <f>'Statement Q'!G60</f>
        <v>0</v>
      </c>
      <c r="O58" s="34">
        <f>'Statement Q'!H60</f>
        <v>0</v>
      </c>
      <c r="P58" s="34">
        <f>'Statement Q'!I60</f>
        <v>0</v>
      </c>
      <c r="Q58" s="34">
        <f>'Statement Q'!J60</f>
        <v>45329</v>
      </c>
      <c r="S58" s="34">
        <f t="shared" si="4"/>
        <v>45329</v>
      </c>
    </row>
    <row r="59" spans="2:19" outlineLevel="1" x14ac:dyDescent="0.2">
      <c r="B59" s="9" t="s">
        <v>132</v>
      </c>
      <c r="C59" s="120">
        <f>'Statement Y'!C61</f>
        <v>0</v>
      </c>
      <c r="D59" s="120">
        <f>'Statement Y'!D61</f>
        <v>65</v>
      </c>
      <c r="E59" s="120">
        <f>'Statement Y'!E61</f>
        <v>125</v>
      </c>
      <c r="F59" s="120">
        <f>'Statement Y'!F61</f>
        <v>97</v>
      </c>
      <c r="G59" s="120">
        <f>'Statement Y'!G61</f>
        <v>119</v>
      </c>
      <c r="H59" s="120">
        <f>'Statement Y'!H61</f>
        <v>244</v>
      </c>
      <c r="J59" s="34">
        <f>'Statement Q'!C61</f>
        <v>0</v>
      </c>
      <c r="K59" s="34">
        <f>'Statement Q'!D61</f>
        <v>0</v>
      </c>
      <c r="L59" s="34">
        <f>'Statement Q'!E61</f>
        <v>0</v>
      </c>
      <c r="M59" s="34">
        <f>'Statement Q'!F61</f>
        <v>0</v>
      </c>
      <c r="N59" s="34">
        <f>'Statement Q'!G61</f>
        <v>112</v>
      </c>
      <c r="O59" s="34">
        <f>'Statement Q'!H61</f>
        <v>81</v>
      </c>
      <c r="P59" s="34">
        <f>'Statement Q'!I61</f>
        <v>151</v>
      </c>
      <c r="Q59" s="34">
        <f>'Statement Q'!J61</f>
        <v>244</v>
      </c>
      <c r="S59" s="34">
        <f t="shared" si="4"/>
        <v>244</v>
      </c>
    </row>
    <row r="60" spans="2:19" outlineLevel="1" x14ac:dyDescent="0.2">
      <c r="B60" s="9" t="s">
        <v>106</v>
      </c>
      <c r="C60" s="120">
        <f>'Statement Y'!C62</f>
        <v>0</v>
      </c>
      <c r="D60" s="120">
        <f>'Statement Y'!D62</f>
        <v>0</v>
      </c>
      <c r="E60" s="120">
        <f>'Statement Y'!E62</f>
        <v>0</v>
      </c>
      <c r="F60" s="120">
        <f>'Statement Y'!F62</f>
        <v>270</v>
      </c>
      <c r="G60" s="120">
        <f>'Statement Y'!G62</f>
        <v>484</v>
      </c>
      <c r="H60" s="120">
        <f>'Statement Y'!H62</f>
        <v>4498</v>
      </c>
      <c r="J60" s="34">
        <f>'Statement Q'!C62</f>
        <v>0</v>
      </c>
      <c r="K60" s="34">
        <f>'Statement Q'!D62</f>
        <v>0</v>
      </c>
      <c r="L60" s="34">
        <f>'Statement Q'!E62</f>
        <v>0</v>
      </c>
      <c r="M60" s="34">
        <f>'Statement Q'!F62</f>
        <v>0</v>
      </c>
      <c r="N60" s="34">
        <f>'Statement Q'!G62</f>
        <v>568</v>
      </c>
      <c r="O60" s="34">
        <f>'Statement Q'!H62</f>
        <v>626</v>
      </c>
      <c r="P60" s="34">
        <f>'Statement Q'!I62</f>
        <v>683</v>
      </c>
      <c r="Q60" s="34">
        <f>'Statement Q'!J62</f>
        <v>4498</v>
      </c>
      <c r="S60" s="34">
        <f t="shared" si="4"/>
        <v>4498</v>
      </c>
    </row>
    <row r="61" spans="2:19" outlineLevel="1" x14ac:dyDescent="0.2">
      <c r="B61" s="9" t="s">
        <v>136</v>
      </c>
      <c r="C61" s="120">
        <f>'Statement Y'!C63</f>
        <v>0</v>
      </c>
      <c r="D61" s="120">
        <f>'Statement Y'!D63</f>
        <v>0</v>
      </c>
      <c r="E61" s="120">
        <f>'Statement Y'!E63</f>
        <v>0</v>
      </c>
      <c r="F61" s="120">
        <f>'Statement Y'!F63</f>
        <v>2857</v>
      </c>
      <c r="G61" s="120">
        <f>'Statement Y'!G63</f>
        <v>185</v>
      </c>
      <c r="H61" s="120">
        <f>'Statement Y'!H63</f>
        <v>47</v>
      </c>
      <c r="J61" s="34">
        <f>'Statement Q'!C63</f>
        <v>0</v>
      </c>
      <c r="K61" s="34">
        <f>'Statement Q'!D63</f>
        <v>0</v>
      </c>
      <c r="L61" s="34">
        <f>'Statement Q'!E63</f>
        <v>0</v>
      </c>
      <c r="M61" s="34">
        <f>'Statement Q'!F63</f>
        <v>0</v>
      </c>
      <c r="N61" s="34">
        <f>'Statement Q'!G63</f>
        <v>246</v>
      </c>
      <c r="O61" s="34">
        <f>'Statement Q'!H63</f>
        <v>45</v>
      </c>
      <c r="P61" s="34">
        <f>'Statement Q'!I63</f>
        <v>41</v>
      </c>
      <c r="Q61" s="34">
        <f>'Statement Q'!J63</f>
        <v>47</v>
      </c>
      <c r="S61" s="34">
        <f t="shared" si="4"/>
        <v>47</v>
      </c>
    </row>
    <row r="62" spans="2:19" outlineLevel="1" x14ac:dyDescent="0.2">
      <c r="B62" s="11" t="s">
        <v>30</v>
      </c>
      <c r="C62" s="122">
        <f>'Statement Y'!C64</f>
        <v>8370</v>
      </c>
      <c r="D62" s="122">
        <f>'Statement Y'!D64</f>
        <v>8764</v>
      </c>
      <c r="E62" s="122">
        <f>'Statement Y'!E64</f>
        <v>3199</v>
      </c>
      <c r="F62" s="122">
        <f>'Statement Y'!F64</f>
        <v>8758</v>
      </c>
      <c r="G62" s="122">
        <f>'Statement Y'!G64</f>
        <v>9584</v>
      </c>
      <c r="H62" s="122">
        <f>'Statement Y'!H64</f>
        <v>92117</v>
      </c>
      <c r="J62" s="58">
        <f>'Statement Q'!C64</f>
        <v>0</v>
      </c>
      <c r="K62" s="58">
        <f>'Statement Q'!D64</f>
        <v>0</v>
      </c>
      <c r="L62" s="58">
        <f>'Statement Q'!E64</f>
        <v>0</v>
      </c>
      <c r="M62" s="58">
        <f>'Statement Q'!F64</f>
        <v>0</v>
      </c>
      <c r="N62" s="58">
        <f>'Statement Q'!G64</f>
        <v>7489</v>
      </c>
      <c r="O62" s="58">
        <f>'Statement Q'!H64</f>
        <v>5507</v>
      </c>
      <c r="P62" s="58">
        <f>'Statement Q'!I64</f>
        <v>4360</v>
      </c>
      <c r="Q62" s="58">
        <f>'Statement Q'!J64</f>
        <v>92117</v>
      </c>
      <c r="S62" s="58">
        <f t="shared" si="4"/>
        <v>92117</v>
      </c>
    </row>
    <row r="63" spans="2:19" outlineLevel="1" x14ac:dyDescent="0.2">
      <c r="B63" s="17" t="s">
        <v>31</v>
      </c>
      <c r="C63" s="119">
        <f>'Statement Y'!C65</f>
        <v>63360</v>
      </c>
      <c r="D63" s="119">
        <f>'Statement Y'!D65</f>
        <v>77196</v>
      </c>
      <c r="E63" s="119">
        <f>'Statement Y'!E65</f>
        <v>82238</v>
      </c>
      <c r="F63" s="119">
        <f>'Statement Y'!F65</f>
        <v>118877</v>
      </c>
      <c r="G63" s="119">
        <f>'Statement Y'!G65</f>
        <v>123607</v>
      </c>
      <c r="H63" s="119">
        <f>'Statement Y'!H65</f>
        <v>326583</v>
      </c>
      <c r="J63" s="56">
        <f>'Statement Q'!C65</f>
        <v>0</v>
      </c>
      <c r="K63" s="56">
        <f>'Statement Q'!D65</f>
        <v>0</v>
      </c>
      <c r="L63" s="56">
        <f>'Statement Q'!E65</f>
        <v>0</v>
      </c>
      <c r="M63" s="56">
        <f>'Statement Q'!F65</f>
        <v>0</v>
      </c>
      <c r="N63" s="56">
        <f>'Statement Q'!G65</f>
        <v>118209</v>
      </c>
      <c r="O63" s="56">
        <f>'Statement Q'!H65</f>
        <v>110642</v>
      </c>
      <c r="P63" s="56">
        <f>'Statement Q'!I65</f>
        <v>103143</v>
      </c>
      <c r="Q63" s="56">
        <f>'Statement Q'!J65</f>
        <v>326583</v>
      </c>
      <c r="S63" s="56">
        <f t="shared" si="4"/>
        <v>326583</v>
      </c>
    </row>
    <row r="64" spans="2:19" outlineLevel="1" x14ac:dyDescent="0.2">
      <c r="B64" s="9" t="s">
        <v>33</v>
      </c>
      <c r="C64" s="120">
        <f>'Statement Y'!C67</f>
        <v>449</v>
      </c>
      <c r="D64" s="120">
        <f>'Statement Y'!D67</f>
        <v>521</v>
      </c>
      <c r="E64" s="120">
        <f>'Statement Y'!E67</f>
        <v>542</v>
      </c>
      <c r="F64" s="120">
        <f>'Statement Y'!F67</f>
        <v>577</v>
      </c>
      <c r="G64" s="120">
        <f>'Statement Y'!G67</f>
        <v>601</v>
      </c>
      <c r="H64" s="120">
        <f>'Statement Y'!H67</f>
        <v>620</v>
      </c>
      <c r="J64" s="34">
        <f>'Statement Q'!C67</f>
        <v>0</v>
      </c>
      <c r="K64" s="34">
        <f>'Statement Q'!D67</f>
        <v>0</v>
      </c>
      <c r="L64" s="34">
        <f>'Statement Q'!E67</f>
        <v>0</v>
      </c>
      <c r="M64" s="34">
        <f>'Statement Q'!F67</f>
        <v>0</v>
      </c>
      <c r="N64" s="34">
        <f>'Statement Q'!G67</f>
        <v>608</v>
      </c>
      <c r="O64" s="34">
        <f>'Statement Q'!H67</f>
        <v>611</v>
      </c>
      <c r="P64" s="34">
        <f>'Statement Q'!I67</f>
        <v>616</v>
      </c>
      <c r="Q64" s="34">
        <f>'Statement Q'!J67</f>
        <v>620</v>
      </c>
      <c r="S64" s="34">
        <f t="shared" si="4"/>
        <v>620</v>
      </c>
    </row>
    <row r="65" spans="2:19" outlineLevel="1" x14ac:dyDescent="0.2">
      <c r="B65" s="9" t="s">
        <v>98</v>
      </c>
      <c r="C65" s="120">
        <f>'Statement Y'!C68</f>
        <v>579599</v>
      </c>
      <c r="D65" s="120">
        <f>'Statement Y'!D68</f>
        <v>860657</v>
      </c>
      <c r="E65" s="120">
        <f>'Statement Y'!E68</f>
        <v>926957</v>
      </c>
      <c r="F65" s="120">
        <f>'Statement Y'!F68</f>
        <v>1039361</v>
      </c>
      <c r="G65" s="120">
        <f>'Statement Y'!G68</f>
        <v>1111274</v>
      </c>
      <c r="H65" s="120">
        <f>'Statement Y'!H68</f>
        <v>1181679</v>
      </c>
      <c r="J65" s="34">
        <f>'Statement Q'!C68</f>
        <v>0</v>
      </c>
      <c r="K65" s="34">
        <f>'Statement Q'!D68</f>
        <v>0</v>
      </c>
      <c r="L65" s="34">
        <f>'Statement Q'!E68</f>
        <v>0</v>
      </c>
      <c r="M65" s="34">
        <f>'Statement Q'!F68</f>
        <v>0</v>
      </c>
      <c r="N65" s="34">
        <f>'Statement Q'!G68</f>
        <v>1132124</v>
      </c>
      <c r="O65" s="34">
        <f>'Statement Q'!H68</f>
        <v>1147540</v>
      </c>
      <c r="P65" s="34">
        <f>'Statement Q'!I68</f>
        <v>1166078</v>
      </c>
      <c r="Q65" s="34">
        <f>'Statement Q'!J68</f>
        <v>1181679</v>
      </c>
      <c r="S65" s="34">
        <f t="shared" si="4"/>
        <v>1181679</v>
      </c>
    </row>
    <row r="66" spans="2:19" outlineLevel="1" x14ac:dyDescent="0.2">
      <c r="B66" s="9" t="s">
        <v>34</v>
      </c>
      <c r="C66" s="120">
        <f>'Statement Y'!C69</f>
        <v>-311777</v>
      </c>
      <c r="D66" s="120">
        <f>'Statement Y'!D69</f>
        <v>-429938</v>
      </c>
      <c r="E66" s="120">
        <f>'Statement Y'!E69</f>
        <v>-606084</v>
      </c>
      <c r="F66" s="120">
        <f>'Statement Y'!F69</f>
        <v>-742969</v>
      </c>
      <c r="G66" s="120">
        <f>'Statement Y'!G69</f>
        <v>-801496</v>
      </c>
      <c r="H66" s="120">
        <f>'Statement Y'!H69</f>
        <v>-799190</v>
      </c>
      <c r="J66" s="120">
        <f>'Statement Q'!C69</f>
        <v>0</v>
      </c>
      <c r="K66" s="120">
        <f>'Statement Q'!D69</f>
        <v>0</v>
      </c>
      <c r="L66" s="120">
        <f>'Statement Q'!E69</f>
        <v>0</v>
      </c>
      <c r="M66" s="120">
        <f>'Statement Q'!F69</f>
        <v>0</v>
      </c>
      <c r="N66" s="120">
        <f>'Statement Q'!G69</f>
        <v>-805410</v>
      </c>
      <c r="O66" s="120">
        <f>'Statement Q'!H69</f>
        <v>-804756</v>
      </c>
      <c r="P66" s="120">
        <f>'Statement Q'!I69</f>
        <v>-800485</v>
      </c>
      <c r="Q66" s="120">
        <f>'Statement Q'!J69</f>
        <v>-799190</v>
      </c>
      <c r="S66" s="120">
        <f t="shared" si="4"/>
        <v>-799190</v>
      </c>
    </row>
    <row r="67" spans="2:19" outlineLevel="1" x14ac:dyDescent="0.2">
      <c r="B67" s="9" t="s">
        <v>139</v>
      </c>
      <c r="C67" s="120">
        <f>'Statement Y'!C71</f>
        <v>-4965</v>
      </c>
      <c r="D67" s="120">
        <f>'Statement Y'!D71</f>
        <v>-13960</v>
      </c>
      <c r="E67" s="120">
        <f>'Statement Y'!E71</f>
        <v>-33596</v>
      </c>
      <c r="F67" s="120">
        <f>'Statement Y'!F71</f>
        <v>-45520</v>
      </c>
      <c r="G67" s="120">
        <f>'Statement Y'!G71</f>
        <v>-45520</v>
      </c>
      <c r="H67" s="120">
        <f>'Statement Y'!H71</f>
        <v>-45520</v>
      </c>
      <c r="J67" s="120">
        <f>'Statement Q'!C71</f>
        <v>0</v>
      </c>
      <c r="K67" s="120">
        <f>'Statement Q'!D71</f>
        <v>0</v>
      </c>
      <c r="L67" s="120">
        <f>'Statement Q'!E71</f>
        <v>0</v>
      </c>
      <c r="M67" s="120">
        <f>'Statement Q'!F71</f>
        <v>0</v>
      </c>
      <c r="N67" s="120">
        <f>'Statement Q'!G71</f>
        <v>-45520</v>
      </c>
      <c r="O67" s="120">
        <f>'Statement Q'!H71</f>
        <v>-45520</v>
      </c>
      <c r="P67" s="120">
        <f>'Statement Q'!I71</f>
        <v>-45520</v>
      </c>
      <c r="Q67" s="120">
        <f>'Statement Q'!J71</f>
        <v>-45520</v>
      </c>
      <c r="S67" s="120">
        <f t="shared" si="4"/>
        <v>-45520</v>
      </c>
    </row>
    <row r="68" spans="2:19" outlineLevel="1" x14ac:dyDescent="0.2">
      <c r="B68" s="11" t="s">
        <v>35</v>
      </c>
      <c r="C68" s="122">
        <f>'Statement Y'!C72</f>
        <v>263306</v>
      </c>
      <c r="D68" s="122">
        <f>'Statement Y'!D72</f>
        <v>417280</v>
      </c>
      <c r="E68" s="122">
        <f>'Statement Y'!E72</f>
        <v>287819</v>
      </c>
      <c r="F68" s="122">
        <f>'Statement Y'!F72</f>
        <v>251449</v>
      </c>
      <c r="G68" s="122">
        <f>'Statement Y'!G72</f>
        <v>264808</v>
      </c>
      <c r="H68" s="122">
        <f>'Statement Y'!H72</f>
        <v>337207</v>
      </c>
      <c r="J68" s="129">
        <f>'Statement Q'!C72</f>
        <v>0</v>
      </c>
      <c r="K68" s="129">
        <f>'Statement Q'!D72</f>
        <v>0</v>
      </c>
      <c r="L68" s="129">
        <f>'Statement Q'!E72</f>
        <v>0</v>
      </c>
      <c r="M68" s="129">
        <f>'Statement Q'!F72</f>
        <v>0</v>
      </c>
      <c r="N68" s="129">
        <f>'Statement Q'!G72</f>
        <v>282186</v>
      </c>
      <c r="O68" s="129">
        <f>'Statement Q'!H72</f>
        <v>297987</v>
      </c>
      <c r="P68" s="129">
        <f>'Statement Q'!I72</f>
        <v>320329</v>
      </c>
      <c r="Q68" s="129">
        <f>'Statement Q'!J72</f>
        <v>337207</v>
      </c>
      <c r="S68" s="129">
        <f t="shared" si="4"/>
        <v>337207</v>
      </c>
    </row>
    <row r="69" spans="2:19" ht="17" outlineLevel="1" thickBot="1" x14ac:dyDescent="0.25">
      <c r="B69" s="19" t="s">
        <v>36</v>
      </c>
      <c r="C69" s="123">
        <f>'Statement Y'!C73</f>
        <v>326666</v>
      </c>
      <c r="D69" s="123">
        <f>'Statement Y'!D73</f>
        <v>494476</v>
      </c>
      <c r="E69" s="123">
        <f>'Statement Y'!E73</f>
        <v>370057</v>
      </c>
      <c r="F69" s="123">
        <f>'Statement Y'!F73</f>
        <v>370326</v>
      </c>
      <c r="G69" s="123">
        <f>'Statement Y'!G73</f>
        <v>388415</v>
      </c>
      <c r="H69" s="123">
        <f>'Statement Y'!H73</f>
        <v>663790</v>
      </c>
      <c r="J69" s="130">
        <f>'Statement Q'!C73</f>
        <v>0</v>
      </c>
      <c r="K69" s="130">
        <f>'Statement Q'!D73</f>
        <v>0</v>
      </c>
      <c r="L69" s="130">
        <f>'Statement Q'!E73</f>
        <v>0</v>
      </c>
      <c r="M69" s="130">
        <f>'Statement Q'!F73</f>
        <v>0</v>
      </c>
      <c r="N69" s="130">
        <f>'Statement Q'!G73</f>
        <v>400395</v>
      </c>
      <c r="O69" s="130">
        <f>'Statement Q'!H73</f>
        <v>408629</v>
      </c>
      <c r="P69" s="130">
        <f>'Statement Q'!I73</f>
        <v>423472</v>
      </c>
      <c r="Q69" s="130">
        <f>'Statement Q'!J73</f>
        <v>663790</v>
      </c>
      <c r="S69" s="130">
        <f t="shared" si="4"/>
        <v>663790</v>
      </c>
    </row>
    <row r="71" spans="2:19" ht="17" thickBot="1" x14ac:dyDescent="0.25">
      <c r="B71" s="15" t="s">
        <v>37</v>
      </c>
      <c r="C71" s="14"/>
      <c r="D71" s="14"/>
      <c r="E71" s="14"/>
      <c r="F71" s="14"/>
      <c r="G71" s="14"/>
      <c r="H71" s="14"/>
      <c r="J71" s="14"/>
      <c r="K71" s="14"/>
      <c r="L71" s="14"/>
      <c r="M71" s="14"/>
      <c r="N71" s="14"/>
      <c r="O71" s="14"/>
      <c r="P71" s="14"/>
      <c r="Q71" s="14"/>
      <c r="S71" s="14"/>
    </row>
    <row r="72" spans="2:19" outlineLevel="1" x14ac:dyDescent="0.2">
      <c r="B72" s="9" t="s">
        <v>14</v>
      </c>
      <c r="C72" s="120">
        <f>'Statement Y'!C76</f>
        <v>-27292</v>
      </c>
      <c r="D72" s="120">
        <f>'Statement Y'!D76</f>
        <v>-118161</v>
      </c>
      <c r="E72" s="120">
        <f>'Statement Y'!E76</f>
        <v>-176146</v>
      </c>
      <c r="F72" s="120">
        <f>'Statement Y'!F76</f>
        <v>-136885</v>
      </c>
      <c r="G72" s="120">
        <f>'Statement Y'!G76</f>
        <v>-58527</v>
      </c>
      <c r="H72" s="120">
        <f>'Statement Y'!H76</f>
        <v>2306</v>
      </c>
      <c r="J72" s="120">
        <f>'Statement Q'!C76</f>
        <v>-19722</v>
      </c>
      <c r="K72" s="120">
        <f>'Statement Q'!D76</f>
        <v>-18012</v>
      </c>
      <c r="L72" s="120">
        <f>'Statement Q'!E76</f>
        <v>-14403</v>
      </c>
      <c r="M72" s="120">
        <f>'Statement Q'!F76</f>
        <v>-6390</v>
      </c>
      <c r="N72" s="120">
        <f>'Statement Q'!G76</f>
        <v>-3914</v>
      </c>
      <c r="O72" s="120">
        <f>'Statement Q'!H76</f>
        <v>654</v>
      </c>
      <c r="P72" s="120">
        <f>'Statement Q'!I76</f>
        <v>4271</v>
      </c>
      <c r="Q72" s="120">
        <f>'Statement Q'!J76</f>
        <v>1295</v>
      </c>
      <c r="S72" s="120">
        <f>SUM(N72:Q72)</f>
        <v>2306</v>
      </c>
    </row>
    <row r="73" spans="2:19" outlineLevel="1" x14ac:dyDescent="0.2">
      <c r="B73" s="9" t="s">
        <v>38</v>
      </c>
      <c r="C73" s="120">
        <f>'Statement Y'!C77</f>
        <v>15908</v>
      </c>
      <c r="D73" s="120">
        <f>'Statement Y'!D77</f>
        <v>21302</v>
      </c>
      <c r="E73" s="120">
        <f>'Statement Y'!E77</f>
        <v>25304</v>
      </c>
      <c r="F73" s="120">
        <f>'Statement Y'!F77</f>
        <v>29487</v>
      </c>
      <c r="G73" s="120">
        <f>'Statement Y'!G77</f>
        <v>27886</v>
      </c>
      <c r="H73" s="120">
        <f>'Statement Y'!H77</f>
        <v>31453</v>
      </c>
      <c r="J73" s="120">
        <f>'Statement Q'!C77</f>
        <v>6673</v>
      </c>
      <c r="K73" s="120">
        <f>'Statement Q'!D77</f>
        <v>7303</v>
      </c>
      <c r="L73" s="120">
        <f>'Statement Q'!E77</f>
        <v>7087</v>
      </c>
      <c r="M73" s="120">
        <f>'Statement Q'!F77</f>
        <v>6823</v>
      </c>
      <c r="N73" s="120">
        <f>'Statement Q'!G77</f>
        <v>6878</v>
      </c>
      <c r="O73" s="120">
        <f>'Statement Q'!H77</f>
        <v>7409</v>
      </c>
      <c r="P73" s="120">
        <f>'Statement Q'!I77</f>
        <v>7478</v>
      </c>
      <c r="Q73" s="120">
        <f>'Statement Q'!J77</f>
        <v>9688</v>
      </c>
      <c r="S73" s="120">
        <f t="shared" ref="S73:S92" si="5">SUM(N73:Q73)</f>
        <v>31453</v>
      </c>
    </row>
    <row r="74" spans="2:19" outlineLevel="1" x14ac:dyDescent="0.2">
      <c r="B74" s="12" t="s">
        <v>99</v>
      </c>
      <c r="C74" s="120">
        <f>'Statement Y'!C78</f>
        <v>13489</v>
      </c>
      <c r="D74" s="120">
        <f>'Statement Y'!D78</f>
        <v>36144</v>
      </c>
      <c r="E74" s="120">
        <f>'Statement Y'!E78</f>
        <v>58775</v>
      </c>
      <c r="F74" s="120">
        <f>'Statement Y'!F78</f>
        <v>71613</v>
      </c>
      <c r="G74" s="120">
        <f>'Statement Y'!G78</f>
        <v>66975</v>
      </c>
      <c r="H74" s="120">
        <f>'Statement Y'!H78</f>
        <v>67452</v>
      </c>
      <c r="J74" s="120">
        <f>'Statement Q'!C78</f>
        <v>16840</v>
      </c>
      <c r="K74" s="120">
        <f>'Statement Q'!D78</f>
        <v>16448</v>
      </c>
      <c r="L74" s="120">
        <f>'Statement Q'!E78</f>
        <v>16525</v>
      </c>
      <c r="M74" s="120">
        <f>'Statement Q'!F78</f>
        <v>17162</v>
      </c>
      <c r="N74" s="120">
        <f>'Statement Q'!G78</f>
        <v>17225</v>
      </c>
      <c r="O74" s="120">
        <f>'Statement Q'!H78</f>
        <v>16230</v>
      </c>
      <c r="P74" s="120">
        <f>'Statement Q'!I78</f>
        <v>15959</v>
      </c>
      <c r="Q74" s="120">
        <f>'Statement Q'!J78</f>
        <v>18038</v>
      </c>
      <c r="S74" s="120">
        <f t="shared" si="5"/>
        <v>67452</v>
      </c>
    </row>
    <row r="75" spans="2:19" outlineLevel="1" x14ac:dyDescent="0.2">
      <c r="B75" s="12" t="s">
        <v>140</v>
      </c>
      <c r="C75" s="120">
        <f>'Statement Y'!C79</f>
        <v>389</v>
      </c>
      <c r="D75" s="120">
        <f>'Statement Y'!D79</f>
        <v>288</v>
      </c>
      <c r="E75" s="120">
        <f>'Statement Y'!E79</f>
        <v>310</v>
      </c>
      <c r="F75" s="120">
        <f>'Statement Y'!F79</f>
        <v>321</v>
      </c>
      <c r="G75" s="120">
        <f>'Statement Y'!G79</f>
        <v>236</v>
      </c>
      <c r="H75" s="120">
        <f>'Statement Y'!H79</f>
        <v>2977</v>
      </c>
      <c r="J75" s="120">
        <f>'Statement Q'!C79</f>
        <v>61</v>
      </c>
      <c r="K75" s="120">
        <f>'Statement Q'!D79</f>
        <v>51</v>
      </c>
      <c r="L75" s="120">
        <f>'Statement Q'!E79</f>
        <v>62</v>
      </c>
      <c r="M75" s="120">
        <f>'Statement Q'!F79</f>
        <v>62</v>
      </c>
      <c r="N75" s="120">
        <f>'Statement Q'!G79</f>
        <v>62</v>
      </c>
      <c r="O75" s="120">
        <f>'Statement Q'!H79</f>
        <v>62</v>
      </c>
      <c r="P75" s="120">
        <f>'Statement Q'!I79</f>
        <v>61</v>
      </c>
      <c r="Q75" s="120">
        <f>'Statement Q'!J79</f>
        <v>2792</v>
      </c>
      <c r="S75" s="120">
        <f t="shared" si="5"/>
        <v>2977</v>
      </c>
    </row>
    <row r="76" spans="2:19" outlineLevel="1" x14ac:dyDescent="0.2">
      <c r="B76" s="12" t="s">
        <v>160</v>
      </c>
      <c r="C76" s="120">
        <f>'Statement Y'!C80</f>
        <v>0</v>
      </c>
      <c r="D76" s="120">
        <f>'Statement Y'!D80</f>
        <v>0</v>
      </c>
      <c r="E76" s="120">
        <f>'Statement Y'!E80</f>
        <v>0</v>
      </c>
      <c r="F76" s="120">
        <f>'Statement Y'!F80</f>
        <v>1118</v>
      </c>
      <c r="G76" s="120">
        <f>'Statement Y'!G80</f>
        <v>0</v>
      </c>
      <c r="H76" s="120">
        <f>'Statement Y'!H80</f>
        <v>501</v>
      </c>
      <c r="J76" s="120">
        <f>'Statement Q'!C80</f>
        <v>0</v>
      </c>
      <c r="K76" s="120">
        <f>'Statement Q'!D80</f>
        <v>0</v>
      </c>
      <c r="L76" s="120">
        <f>'Statement Q'!E80</f>
        <v>0</v>
      </c>
      <c r="M76" s="120">
        <f>'Statement Q'!F80</f>
        <v>0</v>
      </c>
      <c r="N76" s="120">
        <f>'Statement Q'!G80</f>
        <v>0</v>
      </c>
      <c r="O76" s="120">
        <f>'Statement Q'!H80</f>
        <v>0</v>
      </c>
      <c r="P76" s="120">
        <f>'Statement Q'!I80</f>
        <v>0</v>
      </c>
      <c r="Q76" s="120">
        <f>'Statement Q'!J80</f>
        <v>501</v>
      </c>
      <c r="S76" s="120">
        <f t="shared" si="5"/>
        <v>501</v>
      </c>
    </row>
    <row r="77" spans="2:19" outlineLevel="1" x14ac:dyDescent="0.2">
      <c r="B77" s="12" t="s">
        <v>141</v>
      </c>
      <c r="C77" s="120">
        <f>'Statement Y'!C81</f>
        <v>0</v>
      </c>
      <c r="D77" s="120">
        <f>'Statement Y'!D81</f>
        <v>0</v>
      </c>
      <c r="E77" s="120">
        <f>'Statement Y'!E81</f>
        <v>0</v>
      </c>
      <c r="F77" s="120">
        <f>'Statement Y'!F81</f>
        <v>0</v>
      </c>
      <c r="G77" s="120">
        <f>'Statement Y'!G81</f>
        <v>-2345</v>
      </c>
      <c r="H77" s="120">
        <f>'Statement Y'!H81</f>
        <v>0</v>
      </c>
      <c r="J77" s="120">
        <f>'Statement Q'!C81</f>
        <v>0</v>
      </c>
      <c r="K77" s="120">
        <f>'Statement Q'!D81</f>
        <v>0</v>
      </c>
      <c r="L77" s="120">
        <f>'Statement Q'!E81</f>
        <v>0</v>
      </c>
      <c r="M77" s="120">
        <f>'Statement Q'!F81</f>
        <v>-2345</v>
      </c>
      <c r="N77" s="120">
        <f>'Statement Q'!G81</f>
        <v>0</v>
      </c>
      <c r="O77" s="120">
        <f>'Statement Q'!H81</f>
        <v>0</v>
      </c>
      <c r="P77" s="120">
        <f>'Statement Q'!I81</f>
        <v>0</v>
      </c>
      <c r="Q77" s="120">
        <f>'Statement Q'!J81</f>
        <v>0</v>
      </c>
      <c r="S77" s="120">
        <f t="shared" si="5"/>
        <v>0</v>
      </c>
    </row>
    <row r="78" spans="2:19" outlineLevel="1" x14ac:dyDescent="0.2">
      <c r="B78" s="12" t="s">
        <v>142</v>
      </c>
      <c r="C78" s="120">
        <f>'Statement Y'!C82</f>
        <v>762</v>
      </c>
      <c r="D78" s="120">
        <f>'Statement Y'!D82</f>
        <v>672</v>
      </c>
      <c r="E78" s="120">
        <f>'Statement Y'!E82</f>
        <v>1598</v>
      </c>
      <c r="F78" s="120">
        <f>'Statement Y'!F82</f>
        <v>1619</v>
      </c>
      <c r="G78" s="120">
        <f>'Statement Y'!G82</f>
        <v>1873</v>
      </c>
      <c r="H78" s="120">
        <f>'Statement Y'!H82</f>
        <v>1022</v>
      </c>
      <c r="J78" s="120">
        <f>'Statement Q'!C82</f>
        <v>343</v>
      </c>
      <c r="K78" s="120">
        <f>'Statement Q'!D82</f>
        <v>334</v>
      </c>
      <c r="L78" s="120">
        <f>'Statement Q'!E82</f>
        <v>571</v>
      </c>
      <c r="M78" s="120">
        <f>'Statement Q'!F82</f>
        <v>625</v>
      </c>
      <c r="N78" s="120">
        <f>'Statement Q'!G82</f>
        <v>436</v>
      </c>
      <c r="O78" s="120">
        <f>'Statement Q'!H82</f>
        <v>157</v>
      </c>
      <c r="P78" s="120">
        <f>'Statement Q'!I82</f>
        <v>235</v>
      </c>
      <c r="Q78" s="120">
        <f>'Statement Q'!J82</f>
        <v>194</v>
      </c>
      <c r="S78" s="120">
        <f t="shared" si="5"/>
        <v>1022</v>
      </c>
    </row>
    <row r="79" spans="2:19" outlineLevel="1" x14ac:dyDescent="0.2">
      <c r="B79" s="12" t="s">
        <v>143</v>
      </c>
      <c r="C79" s="120">
        <f>'Statement Y'!C83</f>
        <v>2025</v>
      </c>
      <c r="D79" s="120">
        <f>'Statement Y'!D83</f>
        <v>2211</v>
      </c>
      <c r="E79" s="120">
        <f>'Statement Y'!E83</f>
        <v>1696</v>
      </c>
      <c r="F79" s="120">
        <f>'Statement Y'!F83</f>
        <v>1056</v>
      </c>
      <c r="G79" s="120">
        <f>'Statement Y'!G83</f>
        <v>1815</v>
      </c>
      <c r="H79" s="120">
        <f>'Statement Y'!H83</f>
        <v>570</v>
      </c>
      <c r="J79" s="120">
        <f>'Statement Q'!C83</f>
        <v>192</v>
      </c>
      <c r="K79" s="120">
        <f>'Statement Q'!D83</f>
        <v>192</v>
      </c>
      <c r="L79" s="120">
        <f>'Statement Q'!E83</f>
        <v>1322</v>
      </c>
      <c r="M79" s="120">
        <f>'Statement Q'!F83</f>
        <v>109</v>
      </c>
      <c r="N79" s="120">
        <f>'Statement Q'!G83</f>
        <v>110</v>
      </c>
      <c r="O79" s="120">
        <f>'Statement Q'!H83</f>
        <v>242</v>
      </c>
      <c r="P79" s="120">
        <f>'Statement Q'!I83</f>
        <v>111</v>
      </c>
      <c r="Q79" s="120">
        <f>'Statement Q'!J83</f>
        <v>107</v>
      </c>
      <c r="S79" s="120">
        <f t="shared" si="5"/>
        <v>570</v>
      </c>
    </row>
    <row r="80" spans="2:19" outlineLevel="1" x14ac:dyDescent="0.2">
      <c r="B80" s="12" t="s">
        <v>144</v>
      </c>
      <c r="C80" s="120">
        <f>'Statement Y'!C84</f>
        <v>1766</v>
      </c>
      <c r="D80" s="120">
        <f>'Statement Y'!D84</f>
        <v>1004</v>
      </c>
      <c r="E80" s="120">
        <f>'Statement Y'!E84</f>
        <v>1768</v>
      </c>
      <c r="F80" s="120">
        <f>'Statement Y'!F84</f>
        <v>702</v>
      </c>
      <c r="G80" s="120">
        <f>'Statement Y'!G84</f>
        <v>747</v>
      </c>
      <c r="H80" s="120">
        <f>'Statement Y'!H84</f>
        <v>914</v>
      </c>
      <c r="J80" s="120">
        <f>'Statement Q'!C84</f>
        <v>173</v>
      </c>
      <c r="K80" s="120">
        <f>'Statement Q'!D84</f>
        <v>188</v>
      </c>
      <c r="L80" s="120">
        <f>'Statement Q'!E84</f>
        <v>207</v>
      </c>
      <c r="M80" s="120">
        <f>'Statement Q'!F84</f>
        <v>179</v>
      </c>
      <c r="N80" s="120">
        <f>'Statement Q'!G84</f>
        <v>215</v>
      </c>
      <c r="O80" s="120">
        <f>'Statement Q'!H84</f>
        <v>218</v>
      </c>
      <c r="P80" s="120">
        <f>'Statement Q'!I84</f>
        <v>224</v>
      </c>
      <c r="Q80" s="120">
        <f>'Statement Q'!J84</f>
        <v>257</v>
      </c>
      <c r="S80" s="120">
        <f t="shared" si="5"/>
        <v>914</v>
      </c>
    </row>
    <row r="81" spans="2:19" outlineLevel="1" x14ac:dyDescent="0.2">
      <c r="B81" s="12" t="s">
        <v>161</v>
      </c>
      <c r="C81" s="120">
        <f>'Statement Y'!C85</f>
        <v>0</v>
      </c>
      <c r="D81" s="120">
        <f>'Statement Y'!D85</f>
        <v>258</v>
      </c>
      <c r="E81" s="120">
        <f>'Statement Y'!E85</f>
        <v>0</v>
      </c>
      <c r="F81" s="120">
        <f>'Statement Y'!F85</f>
        <v>0</v>
      </c>
      <c r="G81" s="120">
        <f>'Statement Y'!G85</f>
        <v>0</v>
      </c>
      <c r="H81" s="120">
        <f>'Statement Y'!H85</f>
        <v>0</v>
      </c>
      <c r="J81" s="120">
        <f>'Statement Q'!C85</f>
        <v>0</v>
      </c>
      <c r="K81" s="120">
        <f>'Statement Q'!D85</f>
        <v>0</v>
      </c>
      <c r="L81" s="120">
        <f>'Statement Q'!E85</f>
        <v>0</v>
      </c>
      <c r="M81" s="120">
        <f>'Statement Q'!F85</f>
        <v>0</v>
      </c>
      <c r="N81" s="120">
        <f>'Statement Q'!G85</f>
        <v>0</v>
      </c>
      <c r="O81" s="120">
        <f>'Statement Q'!H85</f>
        <v>0</v>
      </c>
      <c r="P81" s="120">
        <f>'Statement Q'!I85</f>
        <v>0</v>
      </c>
      <c r="Q81" s="120">
        <f>'Statement Q'!J85</f>
        <v>0</v>
      </c>
      <c r="S81" s="120">
        <f t="shared" si="5"/>
        <v>0</v>
      </c>
    </row>
    <row r="82" spans="2:19" outlineLevel="1" x14ac:dyDescent="0.2">
      <c r="B82" s="12" t="s">
        <v>145</v>
      </c>
      <c r="C82" s="120">
        <f>'Statement Y'!C86</f>
        <v>-65</v>
      </c>
      <c r="D82" s="120">
        <f>'Statement Y'!D86</f>
        <v>143</v>
      </c>
      <c r="E82" s="120">
        <f>'Statement Y'!E86</f>
        <v>434</v>
      </c>
      <c r="F82" s="120">
        <f>'Statement Y'!F86</f>
        <v>228</v>
      </c>
      <c r="G82" s="120">
        <f>'Statement Y'!G86</f>
        <v>214</v>
      </c>
      <c r="H82" s="120">
        <f>'Statement Y'!H86</f>
        <v>-13271</v>
      </c>
      <c r="J82" s="120">
        <f>'Statement Q'!C86</f>
        <v>63</v>
      </c>
      <c r="K82" s="120">
        <f>'Statement Q'!D86</f>
        <v>56</v>
      </c>
      <c r="L82" s="120">
        <f>'Statement Q'!E86</f>
        <v>57</v>
      </c>
      <c r="M82" s="120">
        <f>'Statement Q'!F86</f>
        <v>38</v>
      </c>
      <c r="N82" s="120">
        <f>'Statement Q'!G86</f>
        <v>85</v>
      </c>
      <c r="O82" s="120">
        <f>'Statement Q'!H86</f>
        <v>-1583</v>
      </c>
      <c r="P82" s="120">
        <f>'Statement Q'!I86</f>
        <v>57</v>
      </c>
      <c r="Q82" s="120">
        <f>'Statement Q'!J86</f>
        <v>-11830</v>
      </c>
      <c r="S82" s="120">
        <f t="shared" si="5"/>
        <v>-13271</v>
      </c>
    </row>
    <row r="83" spans="2:19" outlineLevel="1" x14ac:dyDescent="0.2">
      <c r="B83" s="12" t="s">
        <v>235</v>
      </c>
      <c r="C83" s="120">
        <f>'Statement Y'!C87</f>
        <v>0</v>
      </c>
      <c r="D83" s="120">
        <f>'Statement Y'!D87</f>
        <v>0</v>
      </c>
      <c r="E83" s="120">
        <f>'Statement Y'!E87</f>
        <v>0</v>
      </c>
      <c r="F83" s="120">
        <f>'Statement Y'!F87</f>
        <v>0</v>
      </c>
      <c r="G83" s="120">
        <f>'Statement Y'!G87</f>
        <v>0</v>
      </c>
      <c r="H83" s="120">
        <f>'Statement Y'!H87</f>
        <v>-1020</v>
      </c>
      <c r="J83" s="120">
        <f>'Statement Q'!C87</f>
        <v>0</v>
      </c>
      <c r="K83" s="120">
        <f>'Statement Q'!D87</f>
        <v>0</v>
      </c>
      <c r="L83" s="120">
        <f>'Statement Q'!E87</f>
        <v>0</v>
      </c>
      <c r="M83" s="120">
        <f>'Statement Q'!F87</f>
        <v>0</v>
      </c>
      <c r="N83" s="120">
        <f>'Statement Q'!G87</f>
        <v>0</v>
      </c>
      <c r="O83" s="120">
        <f>'Statement Q'!H87</f>
        <v>0</v>
      </c>
      <c r="P83" s="120">
        <f>'Statement Q'!I87</f>
        <v>0</v>
      </c>
      <c r="Q83" s="120">
        <f>'Statement Q'!J87</f>
        <v>-1020</v>
      </c>
      <c r="S83" s="120"/>
    </row>
    <row r="84" spans="2:19" outlineLevel="1" x14ac:dyDescent="0.2">
      <c r="B84" s="9" t="s">
        <v>203</v>
      </c>
      <c r="C84" s="120">
        <f>SUM('Statement Y'!C88:C97)</f>
        <v>-4092</v>
      </c>
      <c r="D84" s="120">
        <f>SUM('Statement Y'!D88:D97)</f>
        <v>-18571</v>
      </c>
      <c r="E84" s="120">
        <f>SUM('Statement Y'!E88:E97)</f>
        <v>-3862</v>
      </c>
      <c r="F84" s="120">
        <f>SUM('Statement Y'!F88:F97)</f>
        <v>-1637</v>
      </c>
      <c r="G84" s="120">
        <f>SUM('Statement Y'!G88:G97)</f>
        <v>-6493</v>
      </c>
      <c r="H84" s="120">
        <f>SUM('Statement Y'!H88:H97)</f>
        <v>-14090</v>
      </c>
      <c r="J84" s="120">
        <f>SUM('Statement Q'!C88:C97)</f>
        <v>-5344</v>
      </c>
      <c r="K84" s="120">
        <f>SUM('Statement Q'!D88:D97)</f>
        <v>4501</v>
      </c>
      <c r="L84" s="120">
        <f>SUM('Statement Q'!E88:E97)</f>
        <v>-5643</v>
      </c>
      <c r="M84" s="120">
        <f>SUM('Statement Q'!F88:F97)</f>
        <v>-7</v>
      </c>
      <c r="N84" s="120">
        <f>SUM('Statement Q'!G88:G97)</f>
        <v>-6247</v>
      </c>
      <c r="O84" s="120">
        <f>SUM('Statement Q'!H88:H97)</f>
        <v>-8554</v>
      </c>
      <c r="P84" s="120">
        <f>SUM('Statement Q'!I88:I97)</f>
        <v>-12929</v>
      </c>
      <c r="Q84" s="120">
        <f>SUM('Statement Q'!J88:J97)</f>
        <v>13640</v>
      </c>
      <c r="S84" s="120">
        <f t="shared" si="5"/>
        <v>-14090</v>
      </c>
    </row>
    <row r="85" spans="2:19" outlineLevel="1" x14ac:dyDescent="0.2">
      <c r="B85" s="17" t="s">
        <v>41</v>
      </c>
      <c r="C85" s="119">
        <f>'Statement Y'!C98</f>
        <v>2890</v>
      </c>
      <c r="D85" s="119">
        <f>'Statement Y'!D98</f>
        <v>-74710</v>
      </c>
      <c r="E85" s="119">
        <f>'Statement Y'!E98</f>
        <v>-90123</v>
      </c>
      <c r="F85" s="119">
        <f>'Statement Y'!F98</f>
        <v>-32378</v>
      </c>
      <c r="G85" s="119">
        <f>'Statement Y'!G98</f>
        <v>32381</v>
      </c>
      <c r="H85" s="119">
        <f>'Statement Y'!H98</f>
        <v>78814</v>
      </c>
      <c r="J85" s="119">
        <f>'Statement Q'!C98</f>
        <v>-721</v>
      </c>
      <c r="K85" s="119">
        <f>'Statement Q'!D98</f>
        <v>11061</v>
      </c>
      <c r="L85" s="119">
        <f>'Statement Q'!E98</f>
        <v>5785</v>
      </c>
      <c r="M85" s="119">
        <f>'Statement Q'!F98</f>
        <v>16256</v>
      </c>
      <c r="N85" s="119">
        <f>'Statement Q'!G98</f>
        <v>14850</v>
      </c>
      <c r="O85" s="119">
        <f>'Statement Q'!H98</f>
        <v>14835</v>
      </c>
      <c r="P85" s="119">
        <f>'Statement Q'!I98</f>
        <v>15467</v>
      </c>
      <c r="Q85" s="119">
        <f>'Statement Q'!J98</f>
        <v>33662</v>
      </c>
      <c r="S85" s="119">
        <f t="shared" si="5"/>
        <v>78814</v>
      </c>
    </row>
    <row r="86" spans="2:19" outlineLevel="1" x14ac:dyDescent="0.2">
      <c r="B86" s="9" t="s">
        <v>148</v>
      </c>
      <c r="C86" s="120">
        <f>'Statement Y'!C99</f>
        <v>-6510</v>
      </c>
      <c r="D86" s="120">
        <f>'Statement Y'!D99</f>
        <v>-34423</v>
      </c>
      <c r="E86" s="120">
        <f>'Statement Y'!E99</f>
        <v>0</v>
      </c>
      <c r="F86" s="120">
        <f>'Statement Y'!F99</f>
        <v>-14573</v>
      </c>
      <c r="G86" s="120">
        <f>'Statement Y'!G99</f>
        <v>0</v>
      </c>
      <c r="H86" s="120">
        <f>'Statement Y'!H99</f>
        <v>-153191</v>
      </c>
      <c r="J86" s="120">
        <f>'Statement Q'!C99</f>
        <v>0</v>
      </c>
      <c r="K86" s="120">
        <f>'Statement Q'!D99</f>
        <v>0</v>
      </c>
      <c r="L86" s="120">
        <f>'Statement Q'!E99</f>
        <v>0</v>
      </c>
      <c r="M86" s="120">
        <f>'Statement Q'!F99</f>
        <v>0</v>
      </c>
      <c r="N86" s="120">
        <f>'Statement Q'!G99</f>
        <v>0</v>
      </c>
      <c r="O86" s="120">
        <f>'Statement Q'!H99</f>
        <v>0</v>
      </c>
      <c r="P86" s="120">
        <f>'Statement Q'!I99</f>
        <v>0</v>
      </c>
      <c r="Q86" s="120">
        <f>'Statement Q'!J99</f>
        <v>-153191</v>
      </c>
      <c r="S86" s="120">
        <f t="shared" si="5"/>
        <v>-153191</v>
      </c>
    </row>
    <row r="87" spans="2:19" outlineLevel="1" x14ac:dyDescent="0.2">
      <c r="B87" s="9" t="s">
        <v>127</v>
      </c>
      <c r="C87" s="120">
        <f>'Statement Y'!C100</f>
        <v>-7334</v>
      </c>
      <c r="D87" s="120">
        <f>'Statement Y'!D100</f>
        <v>-12385</v>
      </c>
      <c r="E87" s="120">
        <f>'Statement Y'!E100</f>
        <v>-21471</v>
      </c>
      <c r="F87" s="120">
        <f>'Statement Y'!F100</f>
        <v>-19291</v>
      </c>
      <c r="G87" s="120">
        <f>'Statement Y'!G100</f>
        <v>-15380</v>
      </c>
      <c r="H87" s="120">
        <f>'Statement Y'!H100</f>
        <v>-13296</v>
      </c>
      <c r="J87" s="120">
        <f>'Statement Q'!C100</f>
        <v>-4570</v>
      </c>
      <c r="K87" s="120">
        <f>'Statement Q'!D100</f>
        <v>-2976</v>
      </c>
      <c r="L87" s="120">
        <f>'Statement Q'!E100</f>
        <v>-3566</v>
      </c>
      <c r="M87" s="120">
        <f>'Statement Q'!F100</f>
        <v>-4268</v>
      </c>
      <c r="N87" s="120">
        <f>'Statement Q'!G100</f>
        <v>-3888</v>
      </c>
      <c r="O87" s="120">
        <f>'Statement Q'!H100</f>
        <v>-3435</v>
      </c>
      <c r="P87" s="120">
        <f>'Statement Q'!I100</f>
        <v>-3395</v>
      </c>
      <c r="Q87" s="120">
        <f>'Statement Q'!J100</f>
        <v>-2578</v>
      </c>
      <c r="S87" s="120">
        <f t="shared" si="5"/>
        <v>-13296</v>
      </c>
    </row>
    <row r="88" spans="2:19" outlineLevel="1" x14ac:dyDescent="0.2">
      <c r="B88" s="9" t="s">
        <v>42</v>
      </c>
      <c r="C88" s="120">
        <f>'Statement Y'!C101</f>
        <v>-11241</v>
      </c>
      <c r="D88" s="120">
        <f>'Statement Y'!D101</f>
        <v>-18420</v>
      </c>
      <c r="E88" s="120">
        <f>'Statement Y'!E101</f>
        <v>-4732</v>
      </c>
      <c r="F88" s="120">
        <f>'Statement Y'!F101</f>
        <v>-5806</v>
      </c>
      <c r="G88" s="120">
        <f>'Statement Y'!G101</f>
        <v>-8709</v>
      </c>
      <c r="H88" s="120">
        <f>'Statement Y'!H101</f>
        <v>-11101</v>
      </c>
      <c r="J88" s="120">
        <f>'Statement Q'!C101</f>
        <v>-876</v>
      </c>
      <c r="K88" s="120">
        <f>'Statement Q'!D101</f>
        <v>-4427</v>
      </c>
      <c r="L88" s="120">
        <f>'Statement Q'!E101</f>
        <v>-616</v>
      </c>
      <c r="M88" s="120">
        <f>'Statement Q'!F101</f>
        <v>-2790</v>
      </c>
      <c r="N88" s="120">
        <f>'Statement Q'!G101</f>
        <v>-3504</v>
      </c>
      <c r="O88" s="120">
        <f>'Statement Q'!H101</f>
        <v>-1767</v>
      </c>
      <c r="P88" s="120">
        <f>'Statement Q'!I101</f>
        <v>-3271</v>
      </c>
      <c r="Q88" s="120">
        <f>'Statement Q'!J101</f>
        <v>-2559</v>
      </c>
      <c r="S88" s="120">
        <f t="shared" si="5"/>
        <v>-11101</v>
      </c>
    </row>
    <row r="89" spans="2:19" outlineLevel="1" x14ac:dyDescent="0.2">
      <c r="B89" s="17" t="s">
        <v>43</v>
      </c>
      <c r="C89" s="119">
        <f>'Statement Y'!C103</f>
        <v>-25085</v>
      </c>
      <c r="D89" s="119">
        <f>'Statement Y'!D103</f>
        <v>-65228</v>
      </c>
      <c r="E89" s="119">
        <f>'Statement Y'!E103</f>
        <v>-26203</v>
      </c>
      <c r="F89" s="119">
        <f>'Statement Y'!F103</f>
        <v>-39670</v>
      </c>
      <c r="G89" s="119">
        <f>'Statement Y'!G103</f>
        <v>-24089</v>
      </c>
      <c r="H89" s="119">
        <f>'Statement Y'!H103</f>
        <v>-161879</v>
      </c>
      <c r="J89" s="119">
        <f>'Statement Q'!C103</f>
        <v>-5446</v>
      </c>
      <c r="K89" s="119">
        <f>'Statement Q'!D103</f>
        <v>-7403</v>
      </c>
      <c r="L89" s="119">
        <f>'Statement Q'!E103</f>
        <v>-4182</v>
      </c>
      <c r="M89" s="119">
        <f>'Statement Q'!F103</f>
        <v>-7058</v>
      </c>
      <c r="N89" s="119">
        <f>'Statement Q'!G103</f>
        <v>-7392</v>
      </c>
      <c r="O89" s="119">
        <f>'Statement Q'!H103</f>
        <v>-5202</v>
      </c>
      <c r="P89" s="119">
        <f>'Statement Q'!I103</f>
        <v>-6666</v>
      </c>
      <c r="Q89" s="119">
        <f>'Statement Q'!J103</f>
        <v>-142619</v>
      </c>
      <c r="S89" s="119">
        <f t="shared" si="5"/>
        <v>-161879</v>
      </c>
    </row>
    <row r="90" spans="2:19" outlineLevel="1" x14ac:dyDescent="0.2">
      <c r="B90" s="9" t="s">
        <v>103</v>
      </c>
      <c r="C90" s="120">
        <f>'Statement Y'!C104</f>
        <v>174800</v>
      </c>
      <c r="D90" s="120">
        <f>'Statement Y'!D104</f>
        <v>245813</v>
      </c>
      <c r="E90" s="120">
        <f>'Statement Y'!E104</f>
        <v>1603</v>
      </c>
      <c r="F90" s="120">
        <f>'Statement Y'!F104</f>
        <v>955</v>
      </c>
      <c r="G90" s="120">
        <f>'Statement Y'!G104</f>
        <v>1012</v>
      </c>
      <c r="H90" s="120">
        <f>'Statement Y'!H104</f>
        <v>1454</v>
      </c>
      <c r="J90" s="120">
        <f>'Statement Q'!C104</f>
        <v>0</v>
      </c>
      <c r="K90" s="120">
        <f>'Statement Q'!D104</f>
        <v>0</v>
      </c>
      <c r="L90" s="120">
        <f>'Statement Q'!E104</f>
        <v>0</v>
      </c>
      <c r="M90" s="120">
        <f>'Statement Q'!F104</f>
        <v>0</v>
      </c>
      <c r="N90" s="120">
        <f>'Statement Q'!G104</f>
        <v>0</v>
      </c>
      <c r="O90" s="120">
        <f>'Statement Q'!H104</f>
        <v>0</v>
      </c>
      <c r="P90" s="120">
        <f>'Statement Q'!I104</f>
        <v>0</v>
      </c>
      <c r="Q90" s="120">
        <f>'Statement Q'!J104</f>
        <v>0</v>
      </c>
      <c r="S90" s="120">
        <f t="shared" si="5"/>
        <v>0</v>
      </c>
    </row>
    <row r="91" spans="2:19" outlineLevel="1" x14ac:dyDescent="0.2">
      <c r="B91" s="17" t="s">
        <v>44</v>
      </c>
      <c r="C91" s="119">
        <f>'Statement Y'!C121</f>
        <v>150661</v>
      </c>
      <c r="D91" s="119">
        <f>'Statement Y'!D121</f>
        <v>234969</v>
      </c>
      <c r="E91" s="119">
        <f>'Statement Y'!E121</f>
        <v>-20803</v>
      </c>
      <c r="F91" s="119">
        <f>'Statement Y'!F121</f>
        <v>-17115</v>
      </c>
      <c r="G91" s="119">
        <f>'Statement Y'!G121</f>
        <v>-11486</v>
      </c>
      <c r="H91" s="119">
        <f>'Statement Y'!H121</f>
        <v>72851</v>
      </c>
      <c r="J91" s="119">
        <f>'Statement Q'!C121</f>
        <v>-1825</v>
      </c>
      <c r="K91" s="119">
        <f>'Statement Q'!D121</f>
        <v>-1381</v>
      </c>
      <c r="L91" s="119">
        <f>'Statement Q'!E121</f>
        <v>-1651</v>
      </c>
      <c r="M91" s="119">
        <f>'Statement Q'!F121</f>
        <v>-6629</v>
      </c>
      <c r="N91" s="119">
        <f>'Statement Q'!G121</f>
        <v>-838</v>
      </c>
      <c r="O91" s="119">
        <f>'Statement Q'!H121</f>
        <v>-2149</v>
      </c>
      <c r="P91" s="119">
        <f>'Statement Q'!I121</f>
        <v>-667</v>
      </c>
      <c r="Q91" s="119">
        <f>'Statement Q'!J121</f>
        <v>76505</v>
      </c>
      <c r="S91" s="119">
        <f t="shared" si="5"/>
        <v>72851</v>
      </c>
    </row>
    <row r="92" spans="2:19" outlineLevel="1" x14ac:dyDescent="0.2">
      <c r="B92" s="11" t="s">
        <v>45</v>
      </c>
      <c r="C92" s="122">
        <f>'Statement Y'!C123</f>
        <v>128466</v>
      </c>
      <c r="D92" s="122">
        <f>'Statement Y'!D123</f>
        <v>95031</v>
      </c>
      <c r="E92" s="122">
        <f>'Statement Y'!E123</f>
        <v>-137129</v>
      </c>
      <c r="F92" s="122">
        <f>'Statement Y'!F123</f>
        <v>-89163</v>
      </c>
      <c r="G92" s="122">
        <f>'Statement Y'!G123</f>
        <v>-3300</v>
      </c>
      <c r="H92" s="122">
        <f>'Statement Y'!H123</f>
        <v>-10390</v>
      </c>
      <c r="J92" s="122">
        <f>'Statement Q'!C123</f>
        <v>-7993</v>
      </c>
      <c r="K92" s="122">
        <f>'Statement Q'!D123</f>
        <v>2271</v>
      </c>
      <c r="L92" s="122">
        <f>'Statement Q'!E123</f>
        <v>-58</v>
      </c>
      <c r="M92" s="122">
        <f>'Statement Q'!F123</f>
        <v>2480</v>
      </c>
      <c r="N92" s="122">
        <f>'Statement Q'!G123</f>
        <v>6651</v>
      </c>
      <c r="O92" s="122">
        <f>'Statement Q'!H123</f>
        <v>7395</v>
      </c>
      <c r="P92" s="122">
        <f>'Statement Q'!I123</f>
        <v>8105</v>
      </c>
      <c r="Q92" s="122">
        <f>'Statement Q'!J123</f>
        <v>-32541</v>
      </c>
      <c r="S92" s="122">
        <f t="shared" si="5"/>
        <v>-10390</v>
      </c>
    </row>
    <row r="93" spans="2:19" outlineLevel="1" x14ac:dyDescent="0.2">
      <c r="B93" s="11" t="s">
        <v>46</v>
      </c>
      <c r="C93" s="122">
        <f>'Statement Y'!C124</f>
        <v>90315</v>
      </c>
      <c r="D93" s="122">
        <f>'Statement Y'!D124</f>
        <v>218781</v>
      </c>
      <c r="E93" s="122">
        <f>'Statement Y'!E124</f>
        <v>313812</v>
      </c>
      <c r="F93" s="122">
        <f>'Statement Y'!F124</f>
        <v>176683</v>
      </c>
      <c r="G93" s="122">
        <f>'Statement Y'!G124</f>
        <v>87520</v>
      </c>
      <c r="H93" s="122">
        <f>'Statement Y'!H124</f>
        <v>84220</v>
      </c>
      <c r="J93" s="122">
        <f>'Statement Q'!C124</f>
        <v>87520</v>
      </c>
      <c r="K93" s="122">
        <f>'Statement Q'!D124</f>
        <v>79527</v>
      </c>
      <c r="L93" s="122">
        <f>'Statement Q'!E124</f>
        <v>81798</v>
      </c>
      <c r="M93" s="122">
        <f>'Statement Q'!F124</f>
        <v>81740</v>
      </c>
      <c r="N93" s="122">
        <f>'Statement Q'!G124</f>
        <v>84220</v>
      </c>
      <c r="O93" s="122">
        <f>'Statement Q'!H124</f>
        <v>90871</v>
      </c>
      <c r="P93" s="122">
        <f>'Statement Q'!I124</f>
        <v>98266</v>
      </c>
      <c r="Q93" s="122">
        <f>'Statement Q'!J124</f>
        <v>106371</v>
      </c>
      <c r="S93" s="122">
        <f>N93</f>
        <v>84220</v>
      </c>
    </row>
    <row r="94" spans="2:19" ht="17" outlineLevel="1" thickBot="1" x14ac:dyDescent="0.25">
      <c r="B94" s="19" t="s">
        <v>47</v>
      </c>
      <c r="C94" s="123">
        <f>'Statement Y'!C125</f>
        <v>218781</v>
      </c>
      <c r="D94" s="123">
        <f>'Statement Y'!D125</f>
        <v>313812</v>
      </c>
      <c r="E94" s="123">
        <f>'Statement Y'!E125</f>
        <v>176683</v>
      </c>
      <c r="F94" s="123">
        <f>'Statement Y'!F125</f>
        <v>87520</v>
      </c>
      <c r="G94" s="123">
        <f>'Statement Y'!G125</f>
        <v>84220</v>
      </c>
      <c r="H94" s="123">
        <f>'Statement Y'!H125</f>
        <v>73830</v>
      </c>
      <c r="J94" s="123">
        <f>'Statement Q'!C125</f>
        <v>79527</v>
      </c>
      <c r="K94" s="123">
        <f>'Statement Q'!D125</f>
        <v>81798</v>
      </c>
      <c r="L94" s="123">
        <f>'Statement Q'!E125</f>
        <v>81740</v>
      </c>
      <c r="M94" s="123">
        <f>'Statement Q'!F125</f>
        <v>84220</v>
      </c>
      <c r="N94" s="123">
        <f>'Statement Q'!G125</f>
        <v>90871</v>
      </c>
      <c r="O94" s="123">
        <f>'Statement Q'!H125</f>
        <v>98266</v>
      </c>
      <c r="P94" s="123">
        <f>'Statement Q'!I125</f>
        <v>106371</v>
      </c>
      <c r="Q94" s="123">
        <f>'Statement Q'!J125</f>
        <v>73830</v>
      </c>
      <c r="S94" s="123">
        <f>Q94</f>
        <v>73830</v>
      </c>
    </row>
    <row r="96" spans="2:19" ht="17" thickBot="1" x14ac:dyDescent="0.25">
      <c r="B96" s="15" t="s">
        <v>204</v>
      </c>
      <c r="C96" s="124"/>
      <c r="D96" s="124"/>
      <c r="E96" s="124"/>
      <c r="F96" s="124"/>
      <c r="G96" s="124"/>
      <c r="H96" s="124"/>
      <c r="J96" s="124"/>
      <c r="K96" s="124"/>
      <c r="L96" s="124"/>
      <c r="M96" s="124"/>
      <c r="N96" s="124"/>
      <c r="O96" s="124"/>
      <c r="P96" s="124"/>
      <c r="Q96" s="124"/>
      <c r="S96" s="124"/>
    </row>
    <row r="97" spans="2:19" x14ac:dyDescent="0.2">
      <c r="B97" s="9" t="s">
        <v>205</v>
      </c>
      <c r="C97" s="125">
        <f>C21/C5</f>
        <v>-0.18356571628429413</v>
      </c>
      <c r="D97" s="125">
        <f t="shared" ref="D97:G97" si="6">D21/D5</f>
        <v>-0.55414030661295388</v>
      </c>
      <c r="E97" s="125">
        <f t="shared" si="6"/>
        <v>-0.62705492862482648</v>
      </c>
      <c r="F97" s="125">
        <f t="shared" si="6"/>
        <v>-0.384185754099787</v>
      </c>
      <c r="G97" s="125">
        <f t="shared" si="6"/>
        <v>-0.13941207156519689</v>
      </c>
      <c r="H97" s="125">
        <f t="shared" ref="H97" si="7">H21/H5</f>
        <v>4.7982588105062313E-3</v>
      </c>
      <c r="I97" s="125"/>
      <c r="J97" s="131"/>
      <c r="K97" s="131"/>
      <c r="L97" s="131"/>
      <c r="M97" s="131"/>
      <c r="N97" s="131"/>
      <c r="O97" s="131"/>
      <c r="P97" s="131"/>
      <c r="Q97" s="131"/>
      <c r="S97" s="125">
        <f t="shared" ref="S97" si="8">S21/S5</f>
        <v>4.7982588105062313E-3</v>
      </c>
    </row>
    <row r="98" spans="2:19" x14ac:dyDescent="0.2">
      <c r="B98" s="9" t="s">
        <v>206</v>
      </c>
      <c r="C98" s="126">
        <f>C5/C46</f>
        <v>0.45513460231551495</v>
      </c>
      <c r="D98" s="126">
        <f t="shared" ref="D98:G98" si="9">D5/D46</f>
        <v>0.43123023159870244</v>
      </c>
      <c r="E98" s="126">
        <f t="shared" si="9"/>
        <v>0.75909927389564313</v>
      </c>
      <c r="F98" s="126">
        <f t="shared" si="9"/>
        <v>0.96212256228296145</v>
      </c>
      <c r="G98" s="126">
        <f t="shared" si="9"/>
        <v>1.0808362189925724</v>
      </c>
      <c r="H98" s="126">
        <f t="shared" ref="H98" si="10">H5/H46</f>
        <v>0.72401060576387111</v>
      </c>
      <c r="I98" s="126"/>
      <c r="J98" s="131"/>
      <c r="K98" s="131"/>
      <c r="L98" s="131"/>
      <c r="M98" s="131"/>
      <c r="N98" s="131"/>
      <c r="O98" s="131"/>
      <c r="P98" s="131"/>
      <c r="Q98" s="131"/>
      <c r="S98" s="126">
        <f t="shared" ref="S98" si="11">S5/S46</f>
        <v>0.72401060576387111</v>
      </c>
    </row>
    <row r="99" spans="2:19" x14ac:dyDescent="0.2">
      <c r="B99" s="11" t="s">
        <v>207</v>
      </c>
      <c r="C99" s="127">
        <f>C97*C98</f>
        <v>-8.354710927981486E-2</v>
      </c>
      <c r="D99" s="127">
        <f t="shared" ref="D99:G99" si="12">D97*D98</f>
        <v>-0.23896205275888008</v>
      </c>
      <c r="E99" s="127">
        <f t="shared" si="12"/>
        <v>-0.47599694101179013</v>
      </c>
      <c r="F99" s="127">
        <f t="shared" si="12"/>
        <v>-0.36963378212709885</v>
      </c>
      <c r="G99" s="127">
        <f t="shared" si="12"/>
        <v>-0.15068161631244933</v>
      </c>
      <c r="H99" s="127">
        <f t="shared" ref="H99" si="13">H97*H98</f>
        <v>3.4739902680064479E-3</v>
      </c>
      <c r="I99" s="127"/>
      <c r="J99" s="131"/>
      <c r="K99" s="131"/>
      <c r="L99" s="131"/>
      <c r="M99" s="131"/>
      <c r="N99" s="131"/>
      <c r="O99" s="131"/>
      <c r="P99" s="131"/>
      <c r="Q99" s="131"/>
      <c r="S99" s="127">
        <f t="shared" ref="S99" si="14">S97*S98</f>
        <v>3.4739902680064479E-3</v>
      </c>
    </row>
    <row r="100" spans="2:19" x14ac:dyDescent="0.2">
      <c r="B100" s="9" t="s">
        <v>208</v>
      </c>
      <c r="C100" s="126">
        <f>C46/C68</f>
        <v>1.240632571988485</v>
      </c>
      <c r="D100" s="126">
        <f t="shared" ref="D100:G100" si="15">D46/D68</f>
        <v>1.1849980828220859</v>
      </c>
      <c r="E100" s="126">
        <f t="shared" si="15"/>
        <v>1.2857281833374448</v>
      </c>
      <c r="F100" s="126">
        <f t="shared" si="15"/>
        <v>1.4727678376131939</v>
      </c>
      <c r="G100" s="126">
        <f t="shared" si="15"/>
        <v>1.4667797045406483</v>
      </c>
      <c r="H100" s="126">
        <f t="shared" ref="H100" si="16">H46/H68</f>
        <v>1.9684941297185408</v>
      </c>
      <c r="I100" s="126"/>
      <c r="J100" s="131"/>
      <c r="K100" s="131"/>
      <c r="L100" s="131"/>
      <c r="M100" s="131"/>
      <c r="N100" s="131"/>
      <c r="O100" s="131"/>
      <c r="P100" s="131"/>
      <c r="Q100" s="131"/>
      <c r="S100" s="126">
        <f t="shared" ref="S100" si="17">S46/S68</f>
        <v>1.9684941297185408</v>
      </c>
    </row>
    <row r="101" spans="2:19" x14ac:dyDescent="0.2">
      <c r="B101" s="11" t="s">
        <v>209</v>
      </c>
      <c r="C101" s="127">
        <f>C99*C100</f>
        <v>-0.10365126506801974</v>
      </c>
      <c r="D101" s="127">
        <f t="shared" ref="D101:G101" si="18">D99*D100</f>
        <v>-0.28316957438650303</v>
      </c>
      <c r="E101" s="127">
        <f t="shared" si="18"/>
        <v>-0.61200268224126975</v>
      </c>
      <c r="F101" s="127">
        <f t="shared" si="18"/>
        <v>-0.54438474601211384</v>
      </c>
      <c r="G101" s="127">
        <f t="shared" si="18"/>
        <v>-0.22101673665448177</v>
      </c>
      <c r="H101" s="127">
        <f t="shared" ref="H101" si="19">H99*H100</f>
        <v>6.8385294492700329E-3</v>
      </c>
      <c r="I101" s="127"/>
      <c r="J101" s="131"/>
      <c r="K101" s="131"/>
      <c r="L101" s="131"/>
      <c r="M101" s="131"/>
      <c r="N101" s="131"/>
      <c r="O101" s="131"/>
      <c r="P101" s="131"/>
      <c r="Q101" s="131"/>
      <c r="S101" s="127">
        <f t="shared" ref="S101" si="20">S99*S100</f>
        <v>6.8385294492700329E-3</v>
      </c>
    </row>
    <row r="103" spans="2:19" ht="17" thickBot="1" x14ac:dyDescent="0.25">
      <c r="B103" s="124" t="s">
        <v>210</v>
      </c>
      <c r="C103" s="124"/>
      <c r="D103" s="124"/>
      <c r="E103" s="124"/>
      <c r="F103" s="124"/>
      <c r="G103" s="124"/>
      <c r="H103" s="124"/>
      <c r="J103" s="124"/>
      <c r="K103" s="124"/>
      <c r="L103" s="124"/>
      <c r="M103" s="124"/>
      <c r="N103" s="124"/>
      <c r="O103" s="124"/>
      <c r="P103" s="124"/>
      <c r="Q103" s="124"/>
      <c r="S103" s="124"/>
    </row>
    <row r="104" spans="2:19" x14ac:dyDescent="0.2">
      <c r="B104" s="11" t="s">
        <v>6</v>
      </c>
      <c r="C104" s="128"/>
      <c r="D104" s="127">
        <f t="shared" ref="D104:F105" si="21">(D5-C5)/C5</f>
        <v>0.43420300382708826</v>
      </c>
      <c r="E104" s="127">
        <f t="shared" si="21"/>
        <v>0.31738520773051077</v>
      </c>
      <c r="F104" s="127">
        <f t="shared" si="21"/>
        <v>0.26837421238118969</v>
      </c>
      <c r="G104" s="127">
        <f t="shared" ref="G104:H104" si="22">(G5-F5)/F5</f>
        <v>0.17826039365813545</v>
      </c>
      <c r="H104" s="127">
        <f t="shared" si="22"/>
        <v>0.14477398270182201</v>
      </c>
      <c r="I104" s="127"/>
      <c r="J104" s="131"/>
      <c r="K104" s="127">
        <f t="shared" ref="K104:Q105" si="23">(K5-J5)/J5</f>
        <v>8.8720274262228671E-3</v>
      </c>
      <c r="L104" s="127">
        <f t="shared" si="23"/>
        <v>4.5879645497723158E-2</v>
      </c>
      <c r="M104" s="127">
        <f t="shared" si="23"/>
        <v>2.697565543071161E-2</v>
      </c>
      <c r="N104" s="127">
        <f t="shared" si="23"/>
        <v>5.7029020523153506E-2</v>
      </c>
      <c r="O104" s="127">
        <f t="shared" si="23"/>
        <v>1.1376966602263318E-2</v>
      </c>
      <c r="P104" s="127">
        <f t="shared" si="23"/>
        <v>2.6250479723679162E-2</v>
      </c>
      <c r="Q104" s="127">
        <f t="shared" si="23"/>
        <v>5.5961373854221202E-2</v>
      </c>
      <c r="S104" s="131"/>
    </row>
    <row r="105" spans="2:19" x14ac:dyDescent="0.2">
      <c r="B105" s="9" t="s">
        <v>7</v>
      </c>
      <c r="C105" s="128"/>
      <c r="D105" s="125">
        <f t="shared" si="21"/>
        <v>0.55362119650288244</v>
      </c>
      <c r="E105" s="125">
        <f t="shared" si="21"/>
        <v>0.34254435543323342</v>
      </c>
      <c r="F105" s="125">
        <f t="shared" si="21"/>
        <v>0.13493552490687949</v>
      </c>
      <c r="G105" s="125">
        <f t="shared" ref="G105:H105" si="24">(G6-F6)/F6</f>
        <v>8.8080896049543986E-2</v>
      </c>
      <c r="H105" s="125">
        <f t="shared" si="24"/>
        <v>0.14221026575955653</v>
      </c>
      <c r="I105" s="125"/>
      <c r="J105" s="131"/>
      <c r="K105" s="125">
        <f t="shared" si="23"/>
        <v>-3.5537918871252204E-2</v>
      </c>
      <c r="L105" s="125">
        <f t="shared" si="23"/>
        <v>5.2604309530340433E-2</v>
      </c>
      <c r="M105" s="125">
        <f t="shared" si="23"/>
        <v>-2.8114775458204243E-2</v>
      </c>
      <c r="N105" s="125">
        <f t="shared" si="23"/>
        <v>0.13403443961151165</v>
      </c>
      <c r="O105" s="125">
        <f t="shared" si="23"/>
        <v>-1.1138841455405227E-2</v>
      </c>
      <c r="P105" s="125">
        <f t="shared" si="23"/>
        <v>1.0254775377912383E-2</v>
      </c>
      <c r="Q105" s="125">
        <f t="shared" si="23"/>
        <v>6.2140058379572406E-2</v>
      </c>
      <c r="S105" s="131"/>
    </row>
    <row r="106" spans="2:19" x14ac:dyDescent="0.2">
      <c r="B106" s="11" t="s">
        <v>8</v>
      </c>
      <c r="C106" s="128"/>
      <c r="D106" s="127">
        <f>IF(C7=0,
IF(D7=0,0,IF(D7&gt;0,1,-1)),
(D7-C7)/ABS(C7)
)</f>
        <v>0.3692349233053972</v>
      </c>
      <c r="E106" s="127">
        <f>IF(D7=0,
IF(E7=0,0,IF(E7&gt;0,1,-1)),
(E7-D7)/ABS(D7)
)</f>
        <v>0.30185445030149038</v>
      </c>
      <c r="F106" s="127">
        <f>IF(E7=0,
IF(F7=0,0,IF(F7&gt;0,1,-1)),
(F7-E7)/ABS(E7)
)</f>
        <v>0.35332055487261349</v>
      </c>
      <c r="G106" s="127">
        <f t="shared" ref="G106:H106" si="25">IF(F7=0,
IF(G7=0,0,IF(G7&gt;0,1,-1)),
(G7-F7)/ABS(F7)
)</f>
        <v>0.22640429122468658</v>
      </c>
      <c r="H106" s="127">
        <f t="shared" si="25"/>
        <v>0.14598829678565287</v>
      </c>
      <c r="I106" s="127"/>
      <c r="J106" s="131"/>
      <c r="K106" s="127">
        <f t="shared" ref="K106" si="26">IF(J7=0,
IF(K7=0,0,IF(K7&gt;0,1,-1)),
(K7-J7)/ABS(J7)
)</f>
        <v>3.1355566468741165E-2</v>
      </c>
      <c r="L106" s="127">
        <f t="shared" ref="L106" si="27">IF(K7=0,
IF(L7=0,0,IF(L7&gt;0,1,-1)),
(L7-K7)/ABS(K7)
)</f>
        <v>4.2695948285813232E-2</v>
      </c>
      <c r="M106" s="127">
        <f t="shared" ref="M106" si="28">IF(L7=0,
IF(M7=0,0,IF(M7&gt;0,1,-1)),
(M7-L7)/ABS(L7)
)</f>
        <v>5.3305287629907425E-2</v>
      </c>
      <c r="N106" s="127">
        <f t="shared" ref="N106" si="29">IF(M7=0,
IF(N7=0,0,IF(N7&gt;0,1,-1)),
(N7-M7)/ABS(M7)
)</f>
        <v>2.3070354069500098E-2</v>
      </c>
      <c r="O106" s="127">
        <f t="shared" ref="O106" si="30">IF(N7=0,
IF(O7=0,0,IF(O7&gt;0,1,-1)),
(O7-N7)/ABS(N7)
)</f>
        <v>2.2383172169357014E-2</v>
      </c>
      <c r="P106" s="127">
        <f t="shared" ref="P106" si="31">IF(O7=0,
IF(P7=0,0,IF(P7&gt;0,1,-1)),
(P7-O7)/ABS(O7)
)</f>
        <v>3.381314844122893E-2</v>
      </c>
      <c r="Q106" s="127">
        <f t="shared" ref="Q106" si="32">IF(P7=0,
IF(Q7=0,0,IF(Q7&gt;0,1,-1)),
(Q7-P7)/ABS(P7)
)</f>
        <v>5.3106699390080919E-2</v>
      </c>
      <c r="S106" s="131"/>
    </row>
    <row r="107" spans="2:19" x14ac:dyDescent="0.2">
      <c r="B107" s="12" t="s">
        <v>11</v>
      </c>
      <c r="C107" s="128"/>
      <c r="D107" s="125">
        <f t="shared" ref="D107:F108" si="33">IF(C13=0,
IF(D13=0,0,IF(D13&gt;0,1,-1)),
(D13-C13)/ABS(C13)
)</f>
        <v>1.0388481658221413</v>
      </c>
      <c r="E107" s="125">
        <f t="shared" si="33"/>
        <v>0.40027426788170289</v>
      </c>
      <c r="F107" s="125">
        <f t="shared" si="33"/>
        <v>5.9081836327345309E-2</v>
      </c>
      <c r="G107" s="125">
        <f t="shared" ref="G107:H107" si="34">IF(F13=0,
IF(G13=0,0,IF(G13&gt;0,1,-1)),
(G13-F13)/ABS(F13)
)</f>
        <v>-6.9938470633218272E-2</v>
      </c>
      <c r="H107" s="125">
        <f t="shared" si="34"/>
        <v>-2.885333084530696E-2</v>
      </c>
      <c r="I107" s="125"/>
      <c r="J107" s="131"/>
      <c r="K107" s="125">
        <f t="shared" ref="K107:Q108" si="35">IF(J13=0,
IF(K13=0,0,IF(K13&gt;0,1,-1)),
(K13-J13)/ABS(J13)
)</f>
        <v>-1.0506020758049807E-3</v>
      </c>
      <c r="L107" s="125">
        <f t="shared" si="35"/>
        <v>-4.8540323139865471E-3</v>
      </c>
      <c r="M107" s="125">
        <f t="shared" si="35"/>
        <v>-2.762873667340255E-2</v>
      </c>
      <c r="N107" s="125">
        <f t="shared" si="35"/>
        <v>-3.0683053256416688E-2</v>
      </c>
      <c r="O107" s="125">
        <f t="shared" si="35"/>
        <v>-4.5590083540747678E-4</v>
      </c>
      <c r="P107" s="125">
        <f t="shared" si="35"/>
        <v>-3.1483832792988255E-2</v>
      </c>
      <c r="Q107" s="125">
        <f t="shared" si="35"/>
        <v>0.17395344101212978</v>
      </c>
      <c r="S107" s="131"/>
    </row>
    <row r="108" spans="2:19" x14ac:dyDescent="0.2">
      <c r="B108" s="11" t="s">
        <v>12</v>
      </c>
      <c r="C108" s="128"/>
      <c r="D108" s="127">
        <f t="shared" si="33"/>
        <v>-3.5505434147481596</v>
      </c>
      <c r="E108" s="127">
        <f t="shared" si="33"/>
        <v>-0.51135536779749524</v>
      </c>
      <c r="F108" s="127">
        <f t="shared" si="33"/>
        <v>0.22697562191309076</v>
      </c>
      <c r="G108" s="127">
        <f t="shared" ref="G108:H108" si="36">IF(F14=0,
IF(G14=0,0,IF(G14&gt;0,1,-1)),
(G14-F14)/ABS(F14)
)</f>
        <v>0.57431546245209886</v>
      </c>
      <c r="H108" s="127">
        <f t="shared" si="36"/>
        <v>0.8861903368504398</v>
      </c>
      <c r="I108" s="127"/>
      <c r="J108" s="131"/>
      <c r="K108" s="127">
        <f t="shared" si="35"/>
        <v>0.11318228630278064</v>
      </c>
      <c r="L108" s="127">
        <f t="shared" si="35"/>
        <v>0.19620253164556961</v>
      </c>
      <c r="M108" s="127">
        <f t="shared" si="35"/>
        <v>0.45011919381636928</v>
      </c>
      <c r="N108" s="127">
        <f t="shared" si="35"/>
        <v>0.56818181818181823</v>
      </c>
      <c r="O108" s="127">
        <f t="shared" si="35"/>
        <v>0.5415272284758138</v>
      </c>
      <c r="P108" s="127">
        <f t="shared" si="35"/>
        <v>3.4810882548108824</v>
      </c>
      <c r="Q108" s="127">
        <f t="shared" si="35"/>
        <v>-2.4862262637068735</v>
      </c>
      <c r="S108" s="131"/>
    </row>
    <row r="109" spans="2:19" x14ac:dyDescent="0.2">
      <c r="B109" s="11" t="s">
        <v>13</v>
      </c>
      <c r="C109" s="128"/>
      <c r="D109" s="127">
        <f>IF(C19=0,
IF(D19=0,0,IF(D19&gt;0,1,-1)),
(D19-C19)/ABS(C19)
)</f>
        <v>-3.3306170392394376</v>
      </c>
      <c r="E109" s="127">
        <f>IF(D19=0,
IF(E19=0,0,IF(E19&gt;0,1,-1)),
(E19-D19)/ABS(D19)
)</f>
        <v>-0.488934471388976</v>
      </c>
      <c r="F109" s="127">
        <f>IF(E19=0,
IF(F19=0,0,IF(F19&gt;0,1,-1)),
(F19-E19)/ABS(E19)
)</f>
        <v>0.22953610037401159</v>
      </c>
      <c r="G109" s="127">
        <f t="shared" ref="G109:H109" si="37">IF(F19=0,
IF(G19=0,0,IF(G19&gt;0,1,-1)),
(G19-F19)/ABS(F19)
)</f>
        <v>0.58762985621610442</v>
      </c>
      <c r="H109" s="127">
        <f t="shared" si="37"/>
        <v>0.83981652362437509</v>
      </c>
      <c r="I109" s="127"/>
      <c r="J109" s="131"/>
      <c r="K109" s="127">
        <f t="shared" ref="K109" si="38">IF(J19=0,
IF(K19=0,0,IF(K19&gt;0,1,-1)),
(K19-J19)/ABS(J19)
)</f>
        <v>0.10149906308557152</v>
      </c>
      <c r="L109" s="127">
        <f t="shared" ref="L109" si="39">IF(K19=0,
IF(L19=0,0,IF(L19&gt;0,1,-1)),
(L19-K19)/ABS(K19)
)</f>
        <v>0.19122928976943576</v>
      </c>
      <c r="M109" s="127">
        <f t="shared" ref="M109" si="40">IF(L19=0,
IF(M19=0,0,IF(M19&gt;0,1,-1)),
(M19-L19)/ABS(L19)
)</f>
        <v>0.61492729747152786</v>
      </c>
      <c r="N109" s="127">
        <f t="shared" ref="N109" si="41">IF(M19=0,
IF(N19=0,0,IF(N19&gt;0,1,-1)),
(N19-M19)/ABS(M19)
)</f>
        <v>0.40866815476190477</v>
      </c>
      <c r="O109" s="127">
        <f t="shared" ref="O109" si="42">IF(N19=0,
IF(O19=0,0,IF(O19&gt;0,1,-1)),
(O19-N19)/ABS(N19)
)</f>
        <v>0.82290028310789554</v>
      </c>
      <c r="P109" s="127">
        <f t="shared" ref="P109" si="43">IF(O19=0,
IF(P19=0,0,IF(P19&gt;0,1,-1)),
(P19-O19)/ABS(O19)
)</f>
        <v>10.103019538188278</v>
      </c>
      <c r="Q109" s="127">
        <f t="shared" ref="Q109" si="44">IF(P19=0,
IF(Q19=0,0,IF(Q19&gt;0,1,-1)),
(Q19-P19)/ABS(P19)
)</f>
        <v>-3.0142439024390244</v>
      </c>
      <c r="S109" s="131"/>
    </row>
    <row r="110" spans="2:19" x14ac:dyDescent="0.2">
      <c r="B110" s="11" t="s">
        <v>14</v>
      </c>
      <c r="C110" s="128"/>
      <c r="D110" s="127">
        <f>IF(C21=0,
IF(D21=0,0,IF(D21&gt;0,1,-1)),
(D21-C21)/ABS(C21)
)</f>
        <v>-3.3295104792613222</v>
      </c>
      <c r="E110" s="127">
        <f>IF(D21=0,
IF(E21=0,0,IF(E21&gt;0,1,-1)),
(E21-D21)/ABS(D21)
)</f>
        <v>-0.49072875144929379</v>
      </c>
      <c r="F110" s="127">
        <f>IF(E21=0,
IF(F21=0,0,IF(F21&gt;0,1,-1)),
(F21-E21)/ABS(E21)
)</f>
        <v>0.22288896710683184</v>
      </c>
      <c r="G110" s="127">
        <f t="shared" ref="G110:H110" si="45">IF(F21=0,
IF(G21=0,0,IF(G21&gt;0,1,-1)),
(G21-F21)/ABS(F21)
)</f>
        <v>0.57243671695218612</v>
      </c>
      <c r="H110" s="127">
        <f t="shared" si="45"/>
        <v>1.039400618517949</v>
      </c>
      <c r="I110" s="127"/>
      <c r="J110" s="131"/>
      <c r="K110" s="127">
        <f t="shared" ref="K110" si="46">IF(J21=0,
IF(K21=0,0,IF(K21&gt;0,1,-1)),
(K21-J21)/ABS(J21)
)</f>
        <v>8.6705202312138727E-2</v>
      </c>
      <c r="L110" s="127">
        <f t="shared" ref="L110" si="47">IF(K21=0,
IF(L21=0,0,IF(L21&gt;0,1,-1)),
(L21-K21)/ABS(K21)
)</f>
        <v>0.20036642238507663</v>
      </c>
      <c r="M110" s="127">
        <f t="shared" ref="M110" si="48">IF(L21=0,
IF(M21=0,0,IF(M21&gt;0,1,-1)),
(M21-L21)/ABS(L21)
)</f>
        <v>0.55634242866069572</v>
      </c>
      <c r="N110" s="127">
        <f t="shared" ref="N110" si="49">IF(M21=0,
IF(N21=0,0,IF(N21&gt;0,1,-1)),
(N21-M21)/ABS(M21)
)</f>
        <v>0.38748043818466354</v>
      </c>
      <c r="O110" s="127">
        <f t="shared" ref="O110" si="50">IF(N21=0,
IF(O21=0,0,IF(O21&gt;0,1,-1)),
(O21-N21)/ABS(N21)
)</f>
        <v>1.1670924885028104</v>
      </c>
      <c r="P110" s="127">
        <f t="shared" ref="P110" si="51">IF(O21=0,
IF(P21=0,0,IF(P21&gt;0,1,-1)),
(P21-O21)/ABS(O21)
)</f>
        <v>5.5305810397553516</v>
      </c>
      <c r="Q110" s="127">
        <f t="shared" ref="Q110" si="52">IF(P21=0,
IF(Q21=0,0,IF(Q21&gt;0,1,-1)),
(Q21-P21)/ABS(P21)
)</f>
        <v>-0.69679232029969562</v>
      </c>
      <c r="S110" s="131"/>
    </row>
    <row r="111" spans="2:19" x14ac:dyDescent="0.2">
      <c r="B111" s="12" t="s">
        <v>16</v>
      </c>
      <c r="C111" s="128"/>
      <c r="D111" s="125">
        <f>(D22-C22)/C22</f>
        <v>0.26234817813765182</v>
      </c>
      <c r="E111" s="125">
        <f>(E22-D22)/D22</f>
        <v>5.1154586273252083E-2</v>
      </c>
      <c r="F111" s="125">
        <f>(F22-E22)/E22</f>
        <v>4.0446224256292906E-2</v>
      </c>
      <c r="G111" s="125">
        <f t="shared" ref="G111:H111" si="53">(G22-F22)/F22</f>
        <v>5.551584465094115E-2</v>
      </c>
      <c r="H111" s="125">
        <f t="shared" si="53"/>
        <v>6.7806910922035071E-2</v>
      </c>
      <c r="I111" s="125"/>
      <c r="J111" s="131"/>
      <c r="K111" s="125">
        <f t="shared" ref="K111" si="54">(K22-J22)/J22</f>
        <v>1.4770762008964811E-2</v>
      </c>
      <c r="L111" s="125">
        <f t="shared" ref="L111" si="55">(L22-K22)/K22</f>
        <v>6.7648644418552076E-3</v>
      </c>
      <c r="M111" s="125">
        <f t="shared" ref="M111" si="56">(M22-L22)/L22</f>
        <v>6.6675879223381468E-3</v>
      </c>
      <c r="N111" s="125">
        <f t="shared" ref="N111" si="57">(N22-M22)/M22</f>
        <v>1.103332303785305E-2</v>
      </c>
      <c r="O111" s="125">
        <f t="shared" ref="O111" si="58">(O22-N22)/N22</f>
        <v>4.6927241560733864E-2</v>
      </c>
      <c r="P111" s="125">
        <f t="shared" ref="P111" si="59">(P22-O22)/O22</f>
        <v>-2.0426028596440037E-3</v>
      </c>
      <c r="Q111" s="125">
        <f t="shared" ref="Q111" si="60">(Q22-P22)/P22</f>
        <v>-1.0233918128654971E-3</v>
      </c>
      <c r="S111" s="131"/>
    </row>
    <row r="112" spans="2:19" x14ac:dyDescent="0.2">
      <c r="B112" s="12" t="s">
        <v>18</v>
      </c>
      <c r="C112" s="128"/>
      <c r="D112" s="125">
        <f>IF(C23=0,
IF(D23=0,0,IF(D23&gt;0,1,-1)),
(D23-C23)/ABS(C23)
)</f>
        <v>-2.4347826086956528</v>
      </c>
      <c r="E112" s="125">
        <f>IF(D23=0,
IF(E23=0,0,IF(E23&gt;0,1,-1)),
(E23-D23)/ABS(D23)
)</f>
        <v>-0.41772151898734167</v>
      </c>
      <c r="F112" s="125">
        <f>IF(E23=0,
IF(F23=0,0,IF(F23&gt;0,1,-1)),
(F23-E23)/ABS(E23)
)</f>
        <v>0.25297619047619052</v>
      </c>
      <c r="G112" s="125">
        <f t="shared" ref="G112:H112" si="61">IF(F23=0,
IF(G23=0,0,IF(G23&gt;0,1,-1)),
(G23-F23)/ABS(F23)
)</f>
        <v>0.59362549800796804</v>
      </c>
      <c r="H112" s="125">
        <f t="shared" si="61"/>
        <v>1.0392156862745099</v>
      </c>
      <c r="I112" s="125"/>
      <c r="J112" s="131"/>
      <c r="K112" s="125">
        <f t="shared" ref="K112" si="62">IF(J23=0,
IF(K23=0,0,IF(K23&gt;0,1,-1)),
(K23-J23)/ABS(J23)
)</f>
        <v>0.11428571428571424</v>
      </c>
      <c r="L112" s="125">
        <f t="shared" ref="L112" si="63">IF(K23=0,
IF(L23=0,0,IF(L23&gt;0,1,-1)),
(L23-K23)/ABS(K23)
)</f>
        <v>0.19354838709677419</v>
      </c>
      <c r="M112" s="125">
        <f t="shared" ref="M112" si="64">IF(L23=0,
IF(M23=0,0,IF(M23&gt;0,1,-1)),
(M23-L23)/ABS(L23)
)</f>
        <v>0.56000000000000005</v>
      </c>
      <c r="N112" s="125">
        <f t="shared" ref="N112" si="65">IF(M23=0,
IF(N23=0,0,IF(N23&gt;0,1,-1)),
(N23-M23)/ABS(M23)
)</f>
        <v>0.36363636363636359</v>
      </c>
      <c r="O112" s="125">
        <f t="shared" ref="O112" si="66">IF(N23=0,
IF(O23=0,0,IF(O23&gt;0,1,-1)),
(O23-N23)/ABS(N23)
)</f>
        <v>1.1428571428571428</v>
      </c>
      <c r="P112" s="125">
        <f t="shared" ref="P112" si="67">IF(O23=0,
IF(P23=0,0,IF(P23&gt;0,1,-1)),
(P23-O23)/ABS(O23)
)</f>
        <v>6</v>
      </c>
      <c r="Q112" s="125">
        <f t="shared" ref="Q112" si="68">IF(P23=0,
IF(Q23=0,0,IF(Q23&gt;0,1,-1)),
(Q23-P23)/ABS(P23)
)</f>
        <v>-0.7142857142857143</v>
      </c>
      <c r="S112" s="131"/>
    </row>
    <row r="114" spans="2:19" ht="17" thickBot="1" x14ac:dyDescent="0.25">
      <c r="B114" s="15" t="s">
        <v>88</v>
      </c>
      <c r="C114" s="14"/>
      <c r="D114" s="14"/>
      <c r="E114" s="14"/>
      <c r="F114" s="14"/>
      <c r="G114" s="14"/>
      <c r="H114" s="14"/>
      <c r="J114" s="14"/>
      <c r="K114" s="14"/>
      <c r="L114" s="14"/>
      <c r="M114" s="14"/>
      <c r="N114" s="14"/>
      <c r="O114" s="14"/>
      <c r="P114" s="14"/>
      <c r="Q114" s="14"/>
      <c r="S114" s="14"/>
    </row>
    <row r="115" spans="2:19" x14ac:dyDescent="0.2">
      <c r="B115" s="9" t="s">
        <v>89</v>
      </c>
      <c r="C115" s="77">
        <f>C7/C5</f>
        <v>0.64765229322625562</v>
      </c>
      <c r="D115" s="77">
        <f t="shared" ref="D115:G115" si="69">D7/D5</f>
        <v>0.61831423841525468</v>
      </c>
      <c r="E115" s="77">
        <f t="shared" si="69"/>
        <v>0.6110248834146168</v>
      </c>
      <c r="F115" s="77">
        <f t="shared" si="69"/>
        <v>0.65194681994616877</v>
      </c>
      <c r="G115" s="77">
        <f t="shared" si="69"/>
        <v>0.67858546543341913</v>
      </c>
      <c r="H115" s="77">
        <f t="shared" ref="H115" si="70">H7/H5</f>
        <v>0.67930527205045454</v>
      </c>
      <c r="J115" s="77">
        <f t="shared" ref="J115:Q115" si="71">J7/J5</f>
        <v>0.66389045318474171</v>
      </c>
      <c r="K115" s="77">
        <f t="shared" si="71"/>
        <v>0.6786857954267248</v>
      </c>
      <c r="L115" s="77">
        <f t="shared" si="71"/>
        <v>0.67661985018726589</v>
      </c>
      <c r="M115" s="77">
        <f t="shared" si="71"/>
        <v>0.69396704989925329</v>
      </c>
      <c r="N115" s="77">
        <f t="shared" si="71"/>
        <v>0.67167230195970196</v>
      </c>
      <c r="O115" s="77">
        <f t="shared" si="71"/>
        <v>0.67898170653703471</v>
      </c>
      <c r="P115" s="77">
        <f t="shared" si="71"/>
        <v>0.68398527419743549</v>
      </c>
      <c r="Q115" s="77">
        <f t="shared" si="71"/>
        <v>0.68213619586517349</v>
      </c>
      <c r="S115" s="77">
        <f t="shared" ref="S115" si="72">S7/S5</f>
        <v>0.67930527205045454</v>
      </c>
    </row>
    <row r="116" spans="2:19" x14ac:dyDescent="0.2">
      <c r="B116" s="9" t="s">
        <v>90</v>
      </c>
      <c r="C116" s="77">
        <f>C14/C5</f>
        <v>-0.17266288666034424</v>
      </c>
      <c r="D116" s="77">
        <f t="shared" ref="D116:G116" si="73">D14/D5</f>
        <v>-0.547837342250027</v>
      </c>
      <c r="E116" s="77">
        <f t="shared" si="73"/>
        <v>-0.62850023139083688</v>
      </c>
      <c r="F116" s="77">
        <f t="shared" si="73"/>
        <v>-0.38304626170716166</v>
      </c>
      <c r="G116" s="77">
        <f t="shared" si="73"/>
        <v>-0.13838780599933781</v>
      </c>
      <c r="H116" s="77">
        <f t="shared" ref="H116" si="74">H14/H5</f>
        <v>-1.3758060388147093E-2</v>
      </c>
      <c r="J116" s="77">
        <f t="shared" ref="J116:Q116" si="75">J14/J5</f>
        <v>-0.19186500291453018</v>
      </c>
      <c r="K116" s="77">
        <f t="shared" si="75"/>
        <v>-0.16865298927679576</v>
      </c>
      <c r="L116" s="77">
        <f t="shared" si="75"/>
        <v>-0.12961610486891387</v>
      </c>
      <c r="M116" s="77">
        <f t="shared" si="75"/>
        <v>-6.9401263664627413E-2</v>
      </c>
      <c r="N116" s="77">
        <f t="shared" si="75"/>
        <v>-2.8351849296163401E-2</v>
      </c>
      <c r="O116" s="77">
        <f t="shared" si="75"/>
        <v>-1.2852330391028101E-2</v>
      </c>
      <c r="P116" s="77">
        <f t="shared" si="75"/>
        <v>3.1072108232986794E-2</v>
      </c>
      <c r="Q116" s="77">
        <f t="shared" si="75"/>
        <v>-4.3732833859302572E-2</v>
      </c>
      <c r="S116" s="77">
        <f t="shared" ref="S116" si="76">S14/S5</f>
        <v>-1.3758060388147093E-2</v>
      </c>
    </row>
    <row r="117" spans="2:19" x14ac:dyDescent="0.2">
      <c r="B117" s="82" t="s">
        <v>91</v>
      </c>
      <c r="C117" s="132">
        <f>C21/C5</f>
        <v>-0.18356571628429413</v>
      </c>
      <c r="D117" s="132">
        <f t="shared" ref="D117:G117" si="77">D21/D5</f>
        <v>-0.55414030661295388</v>
      </c>
      <c r="E117" s="132">
        <f t="shared" si="77"/>
        <v>-0.62705492862482648</v>
      </c>
      <c r="F117" s="132">
        <f t="shared" si="77"/>
        <v>-0.384185754099787</v>
      </c>
      <c r="G117" s="132">
        <f t="shared" si="77"/>
        <v>-0.13941207156519689</v>
      </c>
      <c r="H117" s="132">
        <f t="shared" ref="H117" si="78">H21/H5</f>
        <v>4.7982588105062313E-3</v>
      </c>
      <c r="J117" s="132">
        <f t="shared" ref="J117:Q117" si="79">J21/J5</f>
        <v>-0.19484869142535344</v>
      </c>
      <c r="K117" s="132">
        <f t="shared" si="79"/>
        <v>-0.17638936493169466</v>
      </c>
      <c r="L117" s="132">
        <f t="shared" si="79"/>
        <v>-0.13485955056179774</v>
      </c>
      <c r="M117" s="132">
        <f t="shared" si="79"/>
        <v>-5.8259862692717976E-2</v>
      </c>
      <c r="N117" s="132">
        <f t="shared" si="79"/>
        <v>-3.3760005520287052E-2</v>
      </c>
      <c r="O117" s="132">
        <f t="shared" si="79"/>
        <v>5.5775873097096071E-3</v>
      </c>
      <c r="P117" s="132">
        <f t="shared" si="79"/>
        <v>3.5493173111282854E-2</v>
      </c>
      <c r="Q117" s="132">
        <f t="shared" si="79"/>
        <v>1.0191473789418181E-2</v>
      </c>
      <c r="S117" s="132">
        <f t="shared" ref="S117" si="80">S21/S5</f>
        <v>4.7982588105062313E-3</v>
      </c>
    </row>
  </sheetData>
  <pageMargins left="0.7" right="0.7" top="0.75" bottom="0.75" header="0.3" footer="0.3"/>
  <ignoredErrors>
    <ignoredError sqref="C84:H84 J84:Q84" formulaRange="1"/>
    <ignoredError sqref="C100:H100 D111:H111 K111:Q111 S22 S100"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E97B-B698-FB4B-9DB4-56230FCB70EC}">
  <sheetPr>
    <tabColor theme="6" tint="0.59999389629810485"/>
  </sheetPr>
  <dimension ref="B13"/>
  <sheetViews>
    <sheetView topLeftCell="A6" workbookViewId="0">
      <selection activeCell="I18" sqref="I18"/>
    </sheetView>
  </sheetViews>
  <sheetFormatPr baseColWidth="10" defaultRowHeight="16" x14ac:dyDescent="0.2"/>
  <cols>
    <col min="1" max="16384" width="10.83203125" style="1"/>
  </cols>
  <sheetData>
    <row r="13" spans="2:2" s="141" customFormat="1" ht="49" x14ac:dyDescent="0.2">
      <c r="B13" s="140" t="s">
        <v>265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549E0-B103-6847-9789-31DC9BBDE74E}">
  <dimension ref="A1:AE37"/>
  <sheetViews>
    <sheetView topLeftCell="F1" zoomScale="162" zoomScaleNormal="75" workbookViewId="0">
      <selection activeCell="J9" sqref="J9"/>
    </sheetView>
  </sheetViews>
  <sheetFormatPr baseColWidth="10" defaultRowHeight="16" x14ac:dyDescent="0.2"/>
  <cols>
    <col min="1" max="1" width="2" style="143" customWidth="1"/>
    <col min="2" max="2" width="28" style="1" customWidth="1"/>
    <col min="3" max="3" width="10.83203125" style="1"/>
    <col min="4" max="4" width="10.83203125" style="1" customWidth="1"/>
    <col min="5" max="7" width="10.83203125" style="1"/>
    <col min="8" max="8" width="13.6640625" style="1" customWidth="1"/>
    <col min="9" max="9" width="11" style="1" bestFit="1" customWidth="1"/>
    <col min="10" max="10" width="11.6640625" style="1" customWidth="1"/>
    <col min="11" max="11" width="11" style="1" bestFit="1" customWidth="1"/>
    <col min="12" max="12" width="12.6640625" style="1" bestFit="1" customWidth="1"/>
    <col min="13" max="13" width="2" style="1" customWidth="1"/>
    <col min="14" max="14" width="38.1640625" style="1" customWidth="1"/>
    <col min="15" max="16" width="2" style="1" customWidth="1"/>
    <col min="17" max="17" width="39" style="1" customWidth="1"/>
    <col min="18" max="18" width="29.83203125" style="1" customWidth="1"/>
    <col min="19" max="29" width="10.83203125" style="1"/>
    <col min="30" max="30" width="2" style="1" customWidth="1"/>
    <col min="31" max="31" width="12.33203125" style="1" customWidth="1"/>
    <col min="32" max="16384" width="10.83203125" style="1"/>
  </cols>
  <sheetData>
    <row r="1" spans="1:31" s="143" customFormat="1" ht="18" customHeight="1" x14ac:dyDescent="0.2">
      <c r="A1" s="141"/>
      <c r="B1" s="142" t="s">
        <v>266</v>
      </c>
      <c r="O1" s="144"/>
    </row>
    <row r="2" spans="1:31" x14ac:dyDescent="0.2">
      <c r="A2" s="141"/>
      <c r="C2" s="233" t="s">
        <v>112</v>
      </c>
      <c r="D2" s="233"/>
      <c r="E2" s="233"/>
      <c r="F2" s="233"/>
      <c r="G2" s="234"/>
      <c r="H2" s="235" t="s">
        <v>113</v>
      </c>
      <c r="I2" s="233"/>
      <c r="J2" s="233"/>
      <c r="K2" s="233"/>
      <c r="L2" s="233"/>
      <c r="O2" s="91"/>
      <c r="S2" s="233" t="s">
        <v>112</v>
      </c>
      <c r="T2" s="233"/>
      <c r="U2" s="233"/>
      <c r="V2" s="233"/>
      <c r="W2" s="233"/>
      <c r="X2" s="233"/>
      <c r="Y2" s="233"/>
      <c r="Z2" s="233"/>
      <c r="AA2" s="233" t="s">
        <v>113</v>
      </c>
      <c r="AB2" s="233"/>
      <c r="AC2" s="233"/>
      <c r="AE2" s="145" t="s">
        <v>74</v>
      </c>
    </row>
    <row r="3" spans="1:31" ht="10" customHeight="1" x14ac:dyDescent="0.2">
      <c r="O3" s="91"/>
    </row>
    <row r="4" spans="1:31" ht="16" customHeight="1" x14ac:dyDescent="0.2">
      <c r="A4" s="146"/>
      <c r="B4" s="93"/>
      <c r="C4" s="230" t="s">
        <v>188</v>
      </c>
      <c r="D4" s="230"/>
      <c r="E4" s="230"/>
      <c r="F4" s="230"/>
      <c r="G4" s="230"/>
      <c r="H4" s="230"/>
      <c r="I4" s="230"/>
      <c r="J4" s="230"/>
      <c r="K4" s="230"/>
      <c r="L4" s="230"/>
      <c r="O4" s="91"/>
      <c r="S4" s="231" t="s">
        <v>188</v>
      </c>
      <c r="T4" s="232"/>
      <c r="U4" s="232"/>
      <c r="V4" s="232"/>
      <c r="W4" s="232"/>
      <c r="X4" s="232"/>
      <c r="Y4" s="232"/>
      <c r="Z4" s="232"/>
      <c r="AA4" s="232"/>
      <c r="AB4" s="232"/>
      <c r="AC4" s="232"/>
      <c r="AE4" s="147" t="s">
        <v>273</v>
      </c>
    </row>
    <row r="5" spans="1:31" x14ac:dyDescent="0.2">
      <c r="B5" s="7" t="s">
        <v>267</v>
      </c>
      <c r="C5" s="64">
        <f>'Statement Y'!D3</f>
        <v>2022</v>
      </c>
      <c r="D5" s="64">
        <f>'Statement Y'!E3</f>
        <v>2023</v>
      </c>
      <c r="E5" s="64">
        <f>'Statement Y'!F3</f>
        <v>2024</v>
      </c>
      <c r="F5" s="64">
        <f>'Statement Y'!G3</f>
        <v>2025</v>
      </c>
      <c r="G5" s="64">
        <f>'Statement Y'!H3</f>
        <v>2026</v>
      </c>
      <c r="H5" s="64">
        <f>G5+1</f>
        <v>2027</v>
      </c>
      <c r="I5" s="64">
        <f t="shared" ref="I5:L5" si="0">H5+1</f>
        <v>2028</v>
      </c>
      <c r="J5" s="64">
        <f t="shared" si="0"/>
        <v>2029</v>
      </c>
      <c r="K5" s="64">
        <f t="shared" si="0"/>
        <v>2030</v>
      </c>
      <c r="L5" s="64">
        <f t="shared" si="0"/>
        <v>2031</v>
      </c>
      <c r="O5" s="91"/>
      <c r="R5" s="7" t="s">
        <v>268</v>
      </c>
      <c r="S5" s="64" t="str">
        <f>'Statement Q'!C3</f>
        <v>Q1 2025</v>
      </c>
      <c r="T5" s="64" t="str">
        <f>'Statement Q'!D3</f>
        <v>Q2 2025</v>
      </c>
      <c r="U5" s="64" t="str">
        <f>'Statement Q'!E3</f>
        <v>Q3 2025</v>
      </c>
      <c r="V5" s="64" t="str">
        <f>'Statement Q'!F3</f>
        <v>Q4 2025</v>
      </c>
      <c r="W5" s="64" t="str">
        <f>'Statement Q'!G3</f>
        <v>Q1 2026</v>
      </c>
      <c r="X5" s="64" t="str">
        <f>'Statement Q'!H3</f>
        <v>Q2 2026</v>
      </c>
      <c r="Y5" s="64" t="str">
        <f>'Statement Q'!I3</f>
        <v>Q3 2026</v>
      </c>
      <c r="Z5" s="64" t="str">
        <f>'Statement Q'!J3</f>
        <v>Q4 2026</v>
      </c>
      <c r="AA5" s="64" t="s">
        <v>269</v>
      </c>
      <c r="AB5" s="64" t="s">
        <v>270</v>
      </c>
      <c r="AC5" s="64" t="s">
        <v>271</v>
      </c>
      <c r="AE5" s="63" t="s">
        <v>269</v>
      </c>
    </row>
    <row r="6" spans="1:31" x14ac:dyDescent="0.2">
      <c r="B6" s="151" t="str">
        <f>'Statement Y'!B182</f>
        <v>Subscription and related services</v>
      </c>
      <c r="C6" s="148">
        <f>'Statement Y'!D182</f>
        <v>95514</v>
      </c>
      <c r="D6" s="148">
        <f>'Statement Y'!E182</f>
        <v>128975</v>
      </c>
      <c r="E6" s="148">
        <f>'Statement Y'!F182</f>
        <v>165436</v>
      </c>
      <c r="F6" s="148">
        <f>'Statement Y'!G182</f>
        <v>196510</v>
      </c>
      <c r="G6" s="149">
        <f>'Statement Y'!H182</f>
        <v>219461</v>
      </c>
      <c r="H6" s="150">
        <f>H24*H26</f>
        <v>236161.98209999996</v>
      </c>
      <c r="I6" s="150">
        <f t="shared" ref="I6:L6" si="1">I24*I26</f>
        <v>255285.19860054739</v>
      </c>
      <c r="J6" s="150">
        <f t="shared" si="1"/>
        <v>274214.59607677796</v>
      </c>
      <c r="K6" s="150">
        <f t="shared" si="1"/>
        <v>304652.41624130035</v>
      </c>
      <c r="L6" s="150">
        <f t="shared" si="1"/>
        <v>346328.86678311031</v>
      </c>
      <c r="N6" s="92" t="s">
        <v>197</v>
      </c>
      <c r="O6" s="91"/>
      <c r="Q6" s="92" t="s">
        <v>197</v>
      </c>
      <c r="R6" s="159" t="str">
        <f>'Statement Q'!B172</f>
        <v>Subscription and related services</v>
      </c>
      <c r="S6" s="148">
        <f>'Statement Q'!C172</f>
        <v>46742</v>
      </c>
      <c r="T6" s="148">
        <f>'Statement Q'!D172</f>
        <v>48612</v>
      </c>
      <c r="U6" s="148">
        <f>'Statement Q'!E172</f>
        <v>49363</v>
      </c>
      <c r="V6" s="148">
        <f>'Statement Q'!F172</f>
        <v>51793</v>
      </c>
      <c r="W6" s="148">
        <f>'Statement Q'!G172</f>
        <v>54355</v>
      </c>
      <c r="X6" s="148">
        <f>'Statement Q'!H172</f>
        <v>53702</v>
      </c>
      <c r="Y6" s="148">
        <f>'Statement Q'!I172</f>
        <v>55480</v>
      </c>
      <c r="Z6" s="149">
        <f>'Statement Q'!J172</f>
        <v>55924</v>
      </c>
      <c r="AA6" s="150">
        <f>AA24*AA26</f>
        <v>57025.702799999992</v>
      </c>
      <c r="AB6" s="150"/>
      <c r="AC6" s="150"/>
      <c r="AE6" s="150">
        <f>SUM(X6:AA6)</f>
        <v>222131.7028</v>
      </c>
    </row>
    <row r="7" spans="1:31" x14ac:dyDescent="0.2">
      <c r="B7" s="151" t="str">
        <f>'Statement Y'!B183</f>
        <v>Payment solutions</v>
      </c>
      <c r="C7" s="148">
        <f>'Statement Y'!D183</f>
        <v>65201</v>
      </c>
      <c r="D7" s="148">
        <f>'Statement Y'!E183</f>
        <v>78368</v>
      </c>
      <c r="E7" s="148">
        <f>'Statement Y'!F183</f>
        <v>94610</v>
      </c>
      <c r="F7" s="148">
        <f>'Statement Y'!G183</f>
        <v>101740</v>
      </c>
      <c r="G7" s="149">
        <f>'Statement Y'!H183</f>
        <v>121459</v>
      </c>
      <c r="H7" s="150">
        <f>H20*H22*H23</f>
        <v>132935.44</v>
      </c>
      <c r="I7" s="150">
        <f t="shared" ref="I7:L7" si="2">I20*I22*I23</f>
        <v>139763.92617000005</v>
      </c>
      <c r="J7" s="150">
        <f t="shared" si="2"/>
        <v>148905.40323120003</v>
      </c>
      <c r="K7" s="150">
        <f t="shared" si="2"/>
        <v>159800.92054080006</v>
      </c>
      <c r="L7" s="150">
        <f t="shared" si="2"/>
        <v>171621.90827901906</v>
      </c>
      <c r="N7" s="92" t="s">
        <v>184</v>
      </c>
      <c r="O7" s="91"/>
      <c r="Q7" s="92" t="s">
        <v>184</v>
      </c>
      <c r="R7" s="159" t="str">
        <f>'Statement Q'!B173</f>
        <v>Payment solutions</v>
      </c>
      <c r="S7" s="148">
        <f>'Statement Q'!C173</f>
        <v>27060</v>
      </c>
      <c r="T7" s="148">
        <f>'Statement Q'!D173</f>
        <v>25300</v>
      </c>
      <c r="U7" s="148">
        <f>'Statement Q'!E173</f>
        <v>24704</v>
      </c>
      <c r="V7" s="148">
        <f>'Statement Q'!F173</f>
        <v>24676</v>
      </c>
      <c r="W7" s="148">
        <f>'Statement Q'!G173</f>
        <v>29925</v>
      </c>
      <c r="X7" s="148">
        <f>'Statement Q'!H173</f>
        <v>28392</v>
      </c>
      <c r="Y7" s="148">
        <f>'Statement Q'!I173</f>
        <v>27422</v>
      </c>
      <c r="Z7" s="149">
        <f>'Statement Q'!J173</f>
        <v>35720</v>
      </c>
      <c r="AA7" s="150">
        <f>AA20*AA22*AA23</f>
        <v>44008.92</v>
      </c>
      <c r="AB7" s="150"/>
      <c r="AC7" s="150"/>
      <c r="AE7" s="150">
        <f t="shared" ref="AE7:AE8" si="3">SUM(X7:AA7)</f>
        <v>135542.91999999998</v>
      </c>
    </row>
    <row r="8" spans="1:31" x14ac:dyDescent="0.2">
      <c r="B8" s="151" t="str">
        <f>'Statement Y'!B184</f>
        <v>Network solutions</v>
      </c>
      <c r="C8" s="148">
        <f>'Statement Y'!D184</f>
        <v>52518</v>
      </c>
      <c r="D8" s="148">
        <f>'Statement Y'!E184</f>
        <v>73567</v>
      </c>
      <c r="E8" s="148">
        <f>'Statement Y'!F184</f>
        <v>96253</v>
      </c>
      <c r="F8" s="148">
        <f>'Statement Y'!G184</f>
        <v>121563</v>
      </c>
      <c r="G8" s="149">
        <f>'Statement Y'!H184</f>
        <v>139671</v>
      </c>
      <c r="H8" s="150">
        <f>H28*H32</f>
        <v>142906.53109162496</v>
      </c>
      <c r="I8" s="150">
        <f t="shared" ref="I8:L8" si="4">I28*I32</f>
        <v>149029.79013583888</v>
      </c>
      <c r="J8" s="150">
        <f t="shared" si="4"/>
        <v>168084.36652813188</v>
      </c>
      <c r="K8" s="150">
        <f t="shared" si="4"/>
        <v>205674.75425848336</v>
      </c>
      <c r="L8" s="150">
        <f t="shared" si="4"/>
        <v>268479.59721885389</v>
      </c>
      <c r="N8" s="92" t="s">
        <v>199</v>
      </c>
      <c r="O8" s="91"/>
      <c r="Q8" s="92" t="s">
        <v>277</v>
      </c>
      <c r="R8" s="159" t="str">
        <f>'Statement Q'!B174</f>
        <v>Network solutions</v>
      </c>
      <c r="S8" s="148">
        <f>'Statement Q'!C174</f>
        <v>27415</v>
      </c>
      <c r="T8" s="148">
        <f>'Statement Q'!D174</f>
        <v>28203</v>
      </c>
      <c r="U8" s="148">
        <f>'Statement Q'!E174</f>
        <v>32733</v>
      </c>
      <c r="V8" s="148">
        <f>'Statement Q'!F174</f>
        <v>33212</v>
      </c>
      <c r="W8" s="148">
        <f>'Statement Q'!G174</f>
        <v>31656</v>
      </c>
      <c r="X8" s="148">
        <f>'Statement Q'!H174</f>
        <v>35161</v>
      </c>
      <c r="Y8" s="148">
        <f>'Statement Q'!I174</f>
        <v>37431</v>
      </c>
      <c r="Z8" s="149">
        <f>'Statement Q'!J174</f>
        <v>35423</v>
      </c>
      <c r="AA8" s="150">
        <f>AA24*AA28</f>
        <v>35391.119299999998</v>
      </c>
      <c r="AB8" s="150"/>
      <c r="AC8" s="150"/>
      <c r="AE8" s="150">
        <f t="shared" si="3"/>
        <v>143406.11929999999</v>
      </c>
    </row>
    <row r="9" spans="1:31" x14ac:dyDescent="0.2">
      <c r="B9" s="7" t="s">
        <v>110</v>
      </c>
      <c r="C9" s="152">
        <f>'Statement Y'!D5</f>
        <v>213233</v>
      </c>
      <c r="D9" s="152">
        <f>'Statement Y'!E5</f>
        <v>280910</v>
      </c>
      <c r="E9" s="152">
        <f>'Statement Y'!F5</f>
        <v>356299</v>
      </c>
      <c r="F9" s="152">
        <f>'Statement Y'!G5</f>
        <v>419813</v>
      </c>
      <c r="G9" s="153">
        <f>'Statement Y'!H5</f>
        <v>480591</v>
      </c>
      <c r="H9" s="154">
        <f>SUM(H6:H8)</f>
        <v>512003.95319162495</v>
      </c>
      <c r="I9" s="154">
        <f t="shared" ref="I9:L9" si="5">SUM(I6:I8)</f>
        <v>544078.91490638629</v>
      </c>
      <c r="J9" s="154">
        <f t="shared" si="5"/>
        <v>591204.36583610985</v>
      </c>
      <c r="K9" s="154">
        <f t="shared" si="5"/>
        <v>670128.09104058379</v>
      </c>
      <c r="L9" s="154">
        <f t="shared" si="5"/>
        <v>786430.37228098325</v>
      </c>
      <c r="N9" s="139" t="s">
        <v>253</v>
      </c>
      <c r="O9" s="91"/>
      <c r="Q9" s="160"/>
      <c r="R9" s="7" t="s">
        <v>110</v>
      </c>
      <c r="S9" s="152">
        <f>'Statement Q'!C5</f>
        <v>101217</v>
      </c>
      <c r="T9" s="152">
        <f>'Statement Q'!D5</f>
        <v>102115</v>
      </c>
      <c r="U9" s="152">
        <f>'Statement Q'!E5</f>
        <v>106800</v>
      </c>
      <c r="V9" s="152">
        <f>'Statement Q'!F5</f>
        <v>109681</v>
      </c>
      <c r="W9" s="152">
        <f>'Statement Q'!G5</f>
        <v>115936</v>
      </c>
      <c r="X9" s="152">
        <f>'Statement Q'!H5</f>
        <v>117255</v>
      </c>
      <c r="Y9" s="152">
        <f>'Statement Q'!I5</f>
        <v>120333</v>
      </c>
      <c r="Z9" s="153">
        <f>'Statement Q'!J5</f>
        <v>127067</v>
      </c>
      <c r="AA9" s="154">
        <f>SUM(AA6:AA8)</f>
        <v>136425.74209999997</v>
      </c>
      <c r="AB9" s="154"/>
      <c r="AC9" s="154"/>
      <c r="AE9" s="154">
        <f>SUM(X9:AA9)</f>
        <v>501080.74209999997</v>
      </c>
    </row>
    <row r="10" spans="1:31" x14ac:dyDescent="0.2">
      <c r="O10" s="91"/>
      <c r="Q10" s="92"/>
    </row>
    <row r="11" spans="1:31" x14ac:dyDescent="0.2">
      <c r="C11" s="230" t="s">
        <v>210</v>
      </c>
      <c r="D11" s="230"/>
      <c r="E11" s="230"/>
      <c r="F11" s="230"/>
      <c r="G11" s="230"/>
      <c r="H11" s="230"/>
      <c r="I11" s="230"/>
      <c r="J11" s="230"/>
      <c r="K11" s="230"/>
      <c r="L11" s="230"/>
      <c r="O11" s="91"/>
      <c r="Q11" s="92"/>
      <c r="S11" s="231" t="s">
        <v>210</v>
      </c>
      <c r="T11" s="232"/>
      <c r="U11" s="232"/>
      <c r="V11" s="232"/>
      <c r="W11" s="232"/>
      <c r="X11" s="232"/>
      <c r="Y11" s="232"/>
      <c r="Z11" s="232"/>
      <c r="AA11" s="232"/>
      <c r="AB11" s="232"/>
      <c r="AC11" s="232"/>
    </row>
    <row r="12" spans="1:31" x14ac:dyDescent="0.2">
      <c r="B12" s="7" t="s">
        <v>272</v>
      </c>
      <c r="C12" s="64">
        <f t="shared" ref="C12:L12" si="6">C5</f>
        <v>2022</v>
      </c>
      <c r="D12" s="64">
        <f t="shared" si="6"/>
        <v>2023</v>
      </c>
      <c r="E12" s="64">
        <f t="shared" si="6"/>
        <v>2024</v>
      </c>
      <c r="F12" s="64">
        <f t="shared" si="6"/>
        <v>2025</v>
      </c>
      <c r="G12" s="64">
        <f t="shared" si="6"/>
        <v>2026</v>
      </c>
      <c r="H12" s="64">
        <f t="shared" si="6"/>
        <v>2027</v>
      </c>
      <c r="I12" s="64">
        <f t="shared" si="6"/>
        <v>2028</v>
      </c>
      <c r="J12" s="64">
        <f t="shared" si="6"/>
        <v>2029</v>
      </c>
      <c r="K12" s="64">
        <f t="shared" si="6"/>
        <v>2030</v>
      </c>
      <c r="L12" s="64">
        <f t="shared" si="6"/>
        <v>2031</v>
      </c>
      <c r="O12" s="91"/>
      <c r="Q12" s="92"/>
      <c r="R12" s="7" t="s">
        <v>272</v>
      </c>
      <c r="S12" s="64" t="str">
        <f t="shared" ref="S12:AC12" si="7">S5</f>
        <v>Q1 2025</v>
      </c>
      <c r="T12" s="64" t="str">
        <f t="shared" si="7"/>
        <v>Q2 2025</v>
      </c>
      <c r="U12" s="64" t="str">
        <f t="shared" si="7"/>
        <v>Q3 2025</v>
      </c>
      <c r="V12" s="64" t="str">
        <f t="shared" si="7"/>
        <v>Q4 2025</v>
      </c>
      <c r="W12" s="64" t="str">
        <f t="shared" si="7"/>
        <v>Q1 2026</v>
      </c>
      <c r="X12" s="64" t="str">
        <f t="shared" si="7"/>
        <v>Q2 2026</v>
      </c>
      <c r="Y12" s="64" t="str">
        <f t="shared" si="7"/>
        <v>Q3 2026</v>
      </c>
      <c r="Z12" s="64" t="str">
        <f t="shared" si="7"/>
        <v>Q4 2026</v>
      </c>
      <c r="AA12" s="64" t="str">
        <f t="shared" si="7"/>
        <v>FQ1</v>
      </c>
      <c r="AB12" s="64" t="str">
        <f t="shared" si="7"/>
        <v>FQ2</v>
      </c>
      <c r="AC12" s="64" t="str">
        <f t="shared" si="7"/>
        <v>FQ3</v>
      </c>
    </row>
    <row r="13" spans="1:31" x14ac:dyDescent="0.2">
      <c r="B13" s="151" t="str">
        <f>B6</f>
        <v>Subscription and related services</v>
      </c>
      <c r="C13" s="155"/>
      <c r="D13" s="108">
        <f t="shared" ref="D13:H15" si="8">D6/C6-1</f>
        <v>0.35032560671733992</v>
      </c>
      <c r="E13" s="108">
        <f t="shared" si="8"/>
        <v>0.28269819732506307</v>
      </c>
      <c r="F13" s="108">
        <f t="shared" si="8"/>
        <v>0.18783094368819353</v>
      </c>
      <c r="G13" s="156">
        <f t="shared" si="8"/>
        <v>0.11679303852221268</v>
      </c>
      <c r="H13" s="108">
        <f t="shared" si="8"/>
        <v>7.6099999999999834E-2</v>
      </c>
      <c r="I13" s="108">
        <f t="shared" ref="I13:L13" si="9">I6/H6-1</f>
        <v>8.0974999999999797E-2</v>
      </c>
      <c r="J13" s="108">
        <f t="shared" si="9"/>
        <v>7.4149999999999938E-2</v>
      </c>
      <c r="K13" s="108">
        <f t="shared" si="9"/>
        <v>0.11100000000000021</v>
      </c>
      <c r="L13" s="108">
        <f t="shared" si="9"/>
        <v>0.13680000000000025</v>
      </c>
      <c r="O13" s="91"/>
      <c r="Q13" s="92"/>
      <c r="R13" s="159" t="str">
        <f>R6</f>
        <v>Subscription and related services</v>
      </c>
      <c r="S13" s="155"/>
      <c r="T13" s="108">
        <f t="shared" ref="T13:AA13" si="10">T6/S6-1</f>
        <v>4.0006846091309667E-2</v>
      </c>
      <c r="U13" s="108">
        <f t="shared" si="10"/>
        <v>1.5448860363696193E-2</v>
      </c>
      <c r="V13" s="108">
        <f t="shared" si="10"/>
        <v>4.9227153941211022E-2</v>
      </c>
      <c r="W13" s="108">
        <f t="shared" si="10"/>
        <v>4.9466144073523344E-2</v>
      </c>
      <c r="X13" s="108">
        <f t="shared" si="10"/>
        <v>-1.2013614202925238E-2</v>
      </c>
      <c r="Y13" s="108">
        <f t="shared" si="10"/>
        <v>3.3108636549849191E-2</v>
      </c>
      <c r="Z13" s="156">
        <f t="shared" si="10"/>
        <v>8.0028839221339965E-3</v>
      </c>
      <c r="AA13" s="108">
        <f t="shared" si="10"/>
        <v>1.9699999999999829E-2</v>
      </c>
      <c r="AB13" s="108"/>
      <c r="AC13" s="108"/>
    </row>
    <row r="14" spans="1:31" x14ac:dyDescent="0.2">
      <c r="B14" s="151" t="str">
        <f t="shared" ref="B14:B15" si="11">B7</f>
        <v>Payment solutions</v>
      </c>
      <c r="C14" s="155"/>
      <c r="D14" s="108">
        <f t="shared" si="8"/>
        <v>0.20194475544853607</v>
      </c>
      <c r="E14" s="108">
        <f t="shared" si="8"/>
        <v>0.20725296039199681</v>
      </c>
      <c r="F14" s="108">
        <f t="shared" si="8"/>
        <v>7.5362012472254492E-2</v>
      </c>
      <c r="G14" s="156">
        <f t="shared" si="8"/>
        <v>0.19381757420876755</v>
      </c>
      <c r="H14" s="108">
        <f t="shared" si="8"/>
        <v>9.448818119694713E-2</v>
      </c>
      <c r="I14" s="108">
        <f t="shared" ref="I14:L14" si="12">I7/H7-1</f>
        <v>5.1366935483871279E-2</v>
      </c>
      <c r="J14" s="108">
        <f t="shared" si="12"/>
        <v>6.5406555981268433E-2</v>
      </c>
      <c r="K14" s="108">
        <f t="shared" si="12"/>
        <v>7.3170731707317138E-2</v>
      </c>
      <c r="L14" s="108">
        <f t="shared" si="12"/>
        <v>7.397321428571435E-2</v>
      </c>
      <c r="O14" s="91"/>
      <c r="Q14" s="92"/>
      <c r="R14" s="159" t="str">
        <f t="shared" ref="R14:R15" si="13">R7</f>
        <v>Payment solutions</v>
      </c>
      <c r="S14" s="155"/>
      <c r="T14" s="108">
        <f t="shared" ref="T14:Z15" si="14">T7/S7-1</f>
        <v>-6.5040650406504086E-2</v>
      </c>
      <c r="U14" s="108">
        <f t="shared" si="14"/>
        <v>-2.3557312252964424E-2</v>
      </c>
      <c r="V14" s="108">
        <f t="shared" si="14"/>
        <v>-1.133419689119175E-3</v>
      </c>
      <c r="W14" s="108">
        <f t="shared" si="14"/>
        <v>0.21271680985573016</v>
      </c>
      <c r="X14" s="108">
        <f t="shared" si="14"/>
        <v>-5.1228070175438623E-2</v>
      </c>
      <c r="Y14" s="108">
        <f t="shared" si="14"/>
        <v>-3.416455339532265E-2</v>
      </c>
      <c r="Z14" s="156">
        <f t="shared" si="14"/>
        <v>0.30260374881482033</v>
      </c>
      <c r="AA14" s="108">
        <f t="shared" ref="AA14:AA15" si="15">AA7/Z7-1</f>
        <v>0.23205263157894729</v>
      </c>
      <c r="AB14" s="108"/>
      <c r="AC14" s="108"/>
    </row>
    <row r="15" spans="1:31" x14ac:dyDescent="0.2">
      <c r="B15" s="151" t="str">
        <f t="shared" si="11"/>
        <v>Network solutions</v>
      </c>
      <c r="C15" s="155"/>
      <c r="D15" s="108">
        <f t="shared" si="8"/>
        <v>0.40079591759015964</v>
      </c>
      <c r="E15" s="108">
        <f t="shared" si="8"/>
        <v>0.30837196025391811</v>
      </c>
      <c r="F15" s="108">
        <f t="shared" si="8"/>
        <v>0.26295284302826927</v>
      </c>
      <c r="G15" s="156">
        <f t="shared" si="8"/>
        <v>0.14895979862293629</v>
      </c>
      <c r="H15" s="108">
        <f t="shared" si="8"/>
        <v>2.3165374999999599E-2</v>
      </c>
      <c r="I15" s="108">
        <f t="shared" ref="I15:L15" si="16">I8/H8-1</f>
        <v>4.2847999999999775E-2</v>
      </c>
      <c r="J15" s="108">
        <f t="shared" si="16"/>
        <v>0.12785749999999996</v>
      </c>
      <c r="K15" s="108">
        <f t="shared" si="16"/>
        <v>0.22364000000000028</v>
      </c>
      <c r="L15" s="108">
        <f t="shared" si="16"/>
        <v>0.3053600000000003</v>
      </c>
      <c r="O15" s="91"/>
      <c r="Q15" s="92"/>
      <c r="R15" s="159" t="str">
        <f t="shared" si="13"/>
        <v>Network solutions</v>
      </c>
      <c r="S15" s="155"/>
      <c r="T15" s="108">
        <f t="shared" si="14"/>
        <v>2.8743388655845248E-2</v>
      </c>
      <c r="U15" s="108">
        <f t="shared" si="14"/>
        <v>0.16062121050952016</v>
      </c>
      <c r="V15" s="108">
        <f t="shared" si="14"/>
        <v>1.463355023981916E-2</v>
      </c>
      <c r="W15" s="108">
        <f t="shared" si="14"/>
        <v>-4.6850535950861083E-2</v>
      </c>
      <c r="X15" s="108">
        <f t="shared" si="14"/>
        <v>0.11072150619155918</v>
      </c>
      <c r="Y15" s="108">
        <f t="shared" si="14"/>
        <v>6.4560166093114546E-2</v>
      </c>
      <c r="Z15" s="156">
        <f t="shared" si="14"/>
        <v>-5.3645374155112058E-2</v>
      </c>
      <c r="AA15" s="108">
        <f t="shared" si="15"/>
        <v>-9.000000000000119E-4</v>
      </c>
      <c r="AB15" s="108"/>
      <c r="AC15" s="108"/>
    </row>
    <row r="16" spans="1:31" x14ac:dyDescent="0.2">
      <c r="B16" s="7" t="s">
        <v>110</v>
      </c>
      <c r="C16" s="155"/>
      <c r="D16" s="157">
        <f t="shared" ref="D16:G16" si="17">D9/C9-1</f>
        <v>0.31738520773051082</v>
      </c>
      <c r="E16" s="157">
        <f t="shared" si="17"/>
        <v>0.26837421238118964</v>
      </c>
      <c r="F16" s="157">
        <f t="shared" si="17"/>
        <v>0.17826039365813551</v>
      </c>
      <c r="G16" s="158">
        <f t="shared" si="17"/>
        <v>0.14477398270182196</v>
      </c>
      <c r="H16" s="157">
        <f>H9/G9-1</f>
        <v>6.5363174074472896E-2</v>
      </c>
      <c r="I16" s="157">
        <f t="shared" ref="I16:L16" si="18">I9/H9-1</f>
        <v>6.2645925905101096E-2</v>
      </c>
      <c r="J16" s="157">
        <f t="shared" si="18"/>
        <v>8.6615102402620936E-2</v>
      </c>
      <c r="K16" s="157">
        <f t="shared" si="18"/>
        <v>0.13349651958820741</v>
      </c>
      <c r="L16" s="157">
        <f t="shared" si="18"/>
        <v>0.17355231454303577</v>
      </c>
      <c r="O16" s="91"/>
      <c r="Q16" s="92"/>
      <c r="R16" s="7" t="s">
        <v>110</v>
      </c>
      <c r="S16" s="155"/>
      <c r="T16" s="157">
        <f t="shared" ref="T16:AA16" si="19">T9/S9-1</f>
        <v>8.8720274262228394E-3</v>
      </c>
      <c r="U16" s="157">
        <f t="shared" si="19"/>
        <v>4.5879645497723054E-2</v>
      </c>
      <c r="V16" s="157">
        <f t="shared" si="19"/>
        <v>2.6975655430711676E-2</v>
      </c>
      <c r="W16" s="157">
        <f t="shared" si="19"/>
        <v>5.7029020523153617E-2</v>
      </c>
      <c r="X16" s="157">
        <f t="shared" si="19"/>
        <v>1.1376966602263394E-2</v>
      </c>
      <c r="Y16" s="157">
        <f t="shared" si="19"/>
        <v>2.625047972367911E-2</v>
      </c>
      <c r="Z16" s="158">
        <f t="shared" si="19"/>
        <v>5.5961373854221286E-2</v>
      </c>
      <c r="AA16" s="157">
        <f t="shared" si="19"/>
        <v>7.3652026883455068E-2</v>
      </c>
    </row>
    <row r="17" spans="2:31" x14ac:dyDescent="0.2">
      <c r="O17" s="91"/>
      <c r="Q17" s="92"/>
    </row>
    <row r="18" spans="2:31" x14ac:dyDescent="0.2">
      <c r="C18" s="230" t="s">
        <v>274</v>
      </c>
      <c r="D18" s="230"/>
      <c r="E18" s="230"/>
      <c r="F18" s="230"/>
      <c r="G18" s="230"/>
      <c r="H18" s="230"/>
      <c r="I18" s="230"/>
      <c r="J18" s="230"/>
      <c r="K18" s="230"/>
      <c r="L18" s="230"/>
      <c r="O18" s="91"/>
      <c r="S18" s="231" t="s">
        <v>210</v>
      </c>
      <c r="T18" s="232"/>
      <c r="U18" s="232"/>
      <c r="V18" s="232"/>
      <c r="W18" s="232"/>
      <c r="X18" s="232"/>
      <c r="Y18" s="232"/>
      <c r="Z18" s="232"/>
      <c r="AA18" s="232"/>
      <c r="AB18" s="232"/>
      <c r="AC18" s="232"/>
    </row>
    <row r="19" spans="2:31" x14ac:dyDescent="0.2">
      <c r="B19" s="7"/>
      <c r="C19" s="64">
        <f t="shared" ref="C19:L19" si="20">C12</f>
        <v>2022</v>
      </c>
      <c r="D19" s="64">
        <f t="shared" si="20"/>
        <v>2023</v>
      </c>
      <c r="E19" s="64">
        <f t="shared" si="20"/>
        <v>2024</v>
      </c>
      <c r="F19" s="64">
        <f t="shared" si="20"/>
        <v>2025</v>
      </c>
      <c r="G19" s="64">
        <f t="shared" si="20"/>
        <v>2026</v>
      </c>
      <c r="H19" s="64">
        <f t="shared" si="20"/>
        <v>2027</v>
      </c>
      <c r="I19" s="64">
        <f t="shared" si="20"/>
        <v>2028</v>
      </c>
      <c r="J19" s="64">
        <f t="shared" si="20"/>
        <v>2029</v>
      </c>
      <c r="K19" s="64">
        <f t="shared" si="20"/>
        <v>2030</v>
      </c>
      <c r="L19" s="64">
        <f t="shared" si="20"/>
        <v>2031</v>
      </c>
      <c r="O19" s="91"/>
      <c r="R19" s="7"/>
      <c r="S19" s="64" t="str">
        <f t="shared" ref="S19:AC19" si="21">S12</f>
        <v>Q1 2025</v>
      </c>
      <c r="T19" s="64" t="str">
        <f t="shared" si="21"/>
        <v>Q2 2025</v>
      </c>
      <c r="U19" s="64" t="str">
        <f t="shared" si="21"/>
        <v>Q3 2025</v>
      </c>
      <c r="V19" s="64" t="str">
        <f t="shared" si="21"/>
        <v>Q4 2025</v>
      </c>
      <c r="W19" s="64" t="str">
        <f t="shared" si="21"/>
        <v>Q1 2026</v>
      </c>
      <c r="X19" s="64" t="str">
        <f t="shared" si="21"/>
        <v>Q2 2026</v>
      </c>
      <c r="Y19" s="64" t="str">
        <f t="shared" si="21"/>
        <v>Q3 2026</v>
      </c>
      <c r="Z19" s="64" t="str">
        <f t="shared" si="21"/>
        <v>Q4 2026</v>
      </c>
      <c r="AA19" s="64" t="str">
        <f t="shared" si="21"/>
        <v>FQ1</v>
      </c>
      <c r="AB19" s="64" t="str">
        <f t="shared" si="21"/>
        <v>FQ2</v>
      </c>
      <c r="AC19" s="64" t="str">
        <f t="shared" si="21"/>
        <v>FQ3</v>
      </c>
    </row>
    <row r="20" spans="2:31" x14ac:dyDescent="0.2">
      <c r="B20" s="1" t="str">
        <f>'Statement Y'!B175</f>
        <v>Patient payment volume</v>
      </c>
      <c r="C20" s="114">
        <f>'Statement Y'!D175</f>
        <v>2768000</v>
      </c>
      <c r="D20" s="114">
        <f>'Statement Y'!E175</f>
        <v>3284000</v>
      </c>
      <c r="E20" s="114">
        <f>'Statement Y'!F175</f>
        <v>3947000</v>
      </c>
      <c r="F20" s="114">
        <f>'Statement Y'!G175</f>
        <v>4420000</v>
      </c>
      <c r="G20" s="161">
        <f>'Statement Y'!H175</f>
        <v>4873000</v>
      </c>
      <c r="H20" s="104">
        <f>G20*(1+H21)</f>
        <v>5360300</v>
      </c>
      <c r="I20" s="104">
        <f t="shared" ref="I20:L20" si="22">H20*(1+I21)</f>
        <v>5949933.0000000009</v>
      </c>
      <c r="J20" s="104">
        <f t="shared" si="22"/>
        <v>6485426.9700000016</v>
      </c>
      <c r="K20" s="104">
        <f t="shared" si="22"/>
        <v>7133969.6670000022</v>
      </c>
      <c r="L20" s="104">
        <f t="shared" si="22"/>
        <v>7847366.6337000029</v>
      </c>
      <c r="O20" s="91"/>
      <c r="R20" s="1" t="str">
        <f>'Statement Q'!B165</f>
        <v>Patient payment volume</v>
      </c>
      <c r="S20" s="114">
        <f>'Statement Q'!C165</f>
        <v>1166000</v>
      </c>
      <c r="T20" s="114">
        <f>'Statement Q'!D165</f>
        <v>1093000</v>
      </c>
      <c r="U20" s="114">
        <f>'Statement Q'!E165</f>
        <v>1081000</v>
      </c>
      <c r="V20" s="114">
        <f>'Statement Q'!F165</f>
        <v>1080000</v>
      </c>
      <c r="W20" s="114">
        <f>'Statement Q'!G165</f>
        <v>1314000</v>
      </c>
      <c r="X20" s="114">
        <f>'Statement Q'!H165</f>
        <v>1250000</v>
      </c>
      <c r="Y20" s="114">
        <f>'Statement Q'!I165</f>
        <v>1181000</v>
      </c>
      <c r="Z20" s="161">
        <f>'Statement Q'!J165</f>
        <v>1128000</v>
      </c>
      <c r="AA20" s="104">
        <f>Z20*(1+AA21)</f>
        <v>1150560</v>
      </c>
      <c r="AE20" s="104">
        <f>SUM(X20:AA20)</f>
        <v>4709560</v>
      </c>
    </row>
    <row r="21" spans="2:31" x14ac:dyDescent="0.2">
      <c r="B21" s="106" t="s">
        <v>189</v>
      </c>
      <c r="C21" s="155"/>
      <c r="D21" s="108">
        <f>(D20-C20)/C20</f>
        <v>0.18641618497109827</v>
      </c>
      <c r="E21" s="108">
        <f t="shared" ref="E21:G21" si="23">(E20-D20)/D20</f>
        <v>0.20188794153471376</v>
      </c>
      <c r="F21" s="108">
        <f t="shared" si="23"/>
        <v>0.11983785153280972</v>
      </c>
      <c r="G21" s="156">
        <f t="shared" si="23"/>
        <v>0.10248868778280543</v>
      </c>
      <c r="H21" s="109">
        <v>0.1</v>
      </c>
      <c r="I21" s="109">
        <v>0.11</v>
      </c>
      <c r="J21" s="109">
        <v>0.09</v>
      </c>
      <c r="K21" s="109">
        <v>0.1</v>
      </c>
      <c r="L21" s="109">
        <v>0.1</v>
      </c>
      <c r="O21" s="91"/>
      <c r="R21" s="106" t="s">
        <v>189</v>
      </c>
      <c r="S21" s="155"/>
      <c r="T21" s="108">
        <f>(T20-S20)/S20</f>
        <v>-6.2607204116638074E-2</v>
      </c>
      <c r="U21" s="108">
        <f t="shared" ref="U21:Z21" si="24">(U20-T20)/T20</f>
        <v>-1.0978956999085087E-2</v>
      </c>
      <c r="V21" s="108">
        <f t="shared" si="24"/>
        <v>-9.2506938020351531E-4</v>
      </c>
      <c r="W21" s="108">
        <f t="shared" si="24"/>
        <v>0.21666666666666667</v>
      </c>
      <c r="X21" s="108">
        <f t="shared" si="24"/>
        <v>-4.8706240487062402E-2</v>
      </c>
      <c r="Y21" s="108">
        <f t="shared" si="24"/>
        <v>-5.5199999999999999E-2</v>
      </c>
      <c r="Z21" s="156">
        <f t="shared" si="24"/>
        <v>-4.4877222692633362E-2</v>
      </c>
      <c r="AA21" s="109">
        <v>0.02</v>
      </c>
    </row>
    <row r="22" spans="2:31" x14ac:dyDescent="0.2">
      <c r="B22" s="151" t="str">
        <f>'Statement Y'!B176</f>
        <v>Payment facilitator volume</v>
      </c>
      <c r="C22" s="162">
        <f>'Statement Y'!D176</f>
        <v>0.79</v>
      </c>
      <c r="D22" s="162">
        <f>'Statement Y'!E176</f>
        <v>0.8</v>
      </c>
      <c r="E22" s="162">
        <f>'Statement Y'!F176</f>
        <v>0.82</v>
      </c>
      <c r="F22" s="162">
        <f>'Statement Y'!G176</f>
        <v>0.81</v>
      </c>
      <c r="G22" s="163">
        <f>'Statement Y'!H176</f>
        <v>0.83</v>
      </c>
      <c r="H22" s="96">
        <v>0.8</v>
      </c>
      <c r="I22" s="96">
        <v>0.81</v>
      </c>
      <c r="J22" s="96">
        <v>0.82</v>
      </c>
      <c r="K22" s="96">
        <v>0.8</v>
      </c>
      <c r="L22" s="96">
        <v>0.81</v>
      </c>
      <c r="O22" s="91"/>
      <c r="R22" s="1" t="str">
        <f>'Statement Q'!B166</f>
        <v>Payment facilitator volume</v>
      </c>
      <c r="S22" s="164">
        <f>'Statement Q'!C166</f>
        <v>0.81</v>
      </c>
      <c r="T22" s="164">
        <f>'Statement Q'!D166</f>
        <v>0.81</v>
      </c>
      <c r="U22" s="164">
        <f>'Statement Q'!E166</f>
        <v>0.81</v>
      </c>
      <c r="V22" s="164">
        <f>'Statement Q'!F166</f>
        <v>0.82</v>
      </c>
      <c r="W22" s="164">
        <f>'Statement Q'!G166</f>
        <v>0.82</v>
      </c>
      <c r="X22" s="164">
        <f>'Statement Q'!H166</f>
        <v>0.82</v>
      </c>
      <c r="Y22" s="164">
        <f>'Statement Q'!I166</f>
        <v>0.85</v>
      </c>
      <c r="Z22" s="165">
        <f>'Statement Q'!J166</f>
        <v>0.84</v>
      </c>
      <c r="AA22" s="96">
        <v>0.85</v>
      </c>
    </row>
    <row r="23" spans="2:31" x14ac:dyDescent="0.2">
      <c r="B23" s="8" t="str">
        <f>'Statement Y'!B177</f>
        <v>Take rate</v>
      </c>
      <c r="C23" s="164">
        <f>'Statement Y'!D177</f>
        <v>2.98E-2</v>
      </c>
      <c r="D23" s="164">
        <f>'Statement Y'!E177</f>
        <v>2.98E-2</v>
      </c>
      <c r="E23" s="164">
        <f>'Statement Y'!F177</f>
        <v>2.92E-2</v>
      </c>
      <c r="F23" s="164">
        <f>'Statement Y'!G177</f>
        <v>2.8299999999999999E-2</v>
      </c>
      <c r="G23" s="165">
        <f>'Statement Y'!H177</f>
        <v>3.0029990678906885E-2</v>
      </c>
      <c r="H23" s="103">
        <v>3.1E-2</v>
      </c>
      <c r="I23" s="103">
        <v>2.9000000000000001E-2</v>
      </c>
      <c r="J23" s="103">
        <v>2.8000000000000001E-2</v>
      </c>
      <c r="K23" s="103">
        <v>2.8000000000000001E-2</v>
      </c>
      <c r="L23" s="103">
        <v>2.7E-2</v>
      </c>
      <c r="O23" s="91"/>
      <c r="R23" s="1" t="str">
        <f>'Statement Q'!B167</f>
        <v>Take rate</v>
      </c>
      <c r="S23" s="169">
        <f>'Statement Q'!C167</f>
        <v>2.9000000000000001E-2</v>
      </c>
      <c r="T23" s="169">
        <f>'Statement Q'!D167</f>
        <v>2.9000000000000001E-2</v>
      </c>
      <c r="U23" s="169">
        <f>'Statement Q'!E167</f>
        <v>2.8000000000000001E-2</v>
      </c>
      <c r="V23" s="169">
        <f>'Statement Q'!F167</f>
        <v>2.8000000000000001E-2</v>
      </c>
      <c r="W23" s="169">
        <f>'Statement Q'!G167</f>
        <v>2.8000000000000001E-2</v>
      </c>
      <c r="X23" s="169">
        <f>'Statement Q'!H167</f>
        <v>2.8000000000000001E-2</v>
      </c>
      <c r="Y23" s="169">
        <f>'Statement Q'!I167</f>
        <v>2.7E-2</v>
      </c>
      <c r="Z23" s="165">
        <f>'Statement Q'!J167</f>
        <v>3.7698412698412696E-2</v>
      </c>
      <c r="AA23" s="103">
        <v>4.4999999999999998E-2</v>
      </c>
    </row>
    <row r="24" spans="2:31" x14ac:dyDescent="0.2">
      <c r="B24" s="1" t="str">
        <f>'Statement Y'!B173</f>
        <v>AHSC</v>
      </c>
      <c r="C24" s="114">
        <f>'Statement Y'!D173</f>
        <v>2074</v>
      </c>
      <c r="D24" s="114">
        <f>'Statement Y'!E173</f>
        <v>2856</v>
      </c>
      <c r="E24" s="114">
        <f>'Statement Y'!F173</f>
        <v>3601</v>
      </c>
      <c r="F24" s="114">
        <f>'Statement Y'!G173</f>
        <v>4203</v>
      </c>
      <c r="G24" s="166">
        <f>'Statement Y'!H173</f>
        <v>4514</v>
      </c>
      <c r="H24" s="104">
        <f>G24*(1+H25)</f>
        <v>4762.2699999999995</v>
      </c>
      <c r="I24" s="104">
        <f t="shared" ref="I24:L24" si="25">H24*(1+I25)</f>
        <v>5071.8175499999988</v>
      </c>
      <c r="J24" s="104">
        <f t="shared" si="25"/>
        <v>5502.9220417499982</v>
      </c>
      <c r="K24" s="104">
        <f t="shared" si="25"/>
        <v>6053.214245924999</v>
      </c>
      <c r="L24" s="104">
        <f t="shared" si="25"/>
        <v>6779.5999554359996</v>
      </c>
      <c r="O24" s="91"/>
      <c r="R24" s="1" t="str">
        <f>'Statement Q'!B163</f>
        <v>AHSC</v>
      </c>
      <c r="S24" s="114">
        <f>'Statement Q'!C163</f>
        <v>4065</v>
      </c>
      <c r="T24" s="114">
        <f>'Statement Q'!D163</f>
        <v>4169</v>
      </c>
      <c r="U24" s="114">
        <f>'Statement Q'!E163</f>
        <v>4237</v>
      </c>
      <c r="V24" s="114">
        <f>'Statement Q'!F163</f>
        <v>4341</v>
      </c>
      <c r="W24" s="114">
        <f>'Statement Q'!G163</f>
        <v>4411</v>
      </c>
      <c r="X24" s="114">
        <f>'Statement Q'!H163</f>
        <v>4467</v>
      </c>
      <c r="Y24" s="114">
        <f>'Statement Q'!I163</f>
        <v>4520</v>
      </c>
      <c r="Z24" s="166">
        <f>'Statement Q'!J163</f>
        <v>4658</v>
      </c>
      <c r="AA24" s="104">
        <f>Z24*(1+AA25)</f>
        <v>4797.74</v>
      </c>
      <c r="AE24" s="104">
        <f>AVERAGE(X24:AA24)</f>
        <v>4610.6849999999995</v>
      </c>
    </row>
    <row r="25" spans="2:31" x14ac:dyDescent="0.2">
      <c r="B25" s="106" t="s">
        <v>275</v>
      </c>
      <c r="C25" s="155"/>
      <c r="D25" s="108">
        <f>(D24-C24)/C24</f>
        <v>0.37704918032786883</v>
      </c>
      <c r="E25" s="108">
        <f t="shared" ref="E25:G25" si="26">(E24-D24)/D24</f>
        <v>0.26085434173669469</v>
      </c>
      <c r="F25" s="108">
        <f t="shared" si="26"/>
        <v>0.16717578450430437</v>
      </c>
      <c r="G25" s="156">
        <f t="shared" si="26"/>
        <v>7.3994765643587909E-2</v>
      </c>
      <c r="H25" s="109">
        <v>5.5E-2</v>
      </c>
      <c r="I25" s="109">
        <v>6.5000000000000002E-2</v>
      </c>
      <c r="J25" s="109">
        <v>8.5000000000000006E-2</v>
      </c>
      <c r="K25" s="109">
        <v>0.1</v>
      </c>
      <c r="L25" s="109">
        <v>0.12</v>
      </c>
      <c r="O25" s="91"/>
      <c r="R25" s="106" t="s">
        <v>275</v>
      </c>
      <c r="S25" s="155"/>
      <c r="T25" s="108">
        <f>(T24-S24)/S24</f>
        <v>2.5584255842558426E-2</v>
      </c>
      <c r="U25" s="108">
        <f t="shared" ref="U25:Y25" si="27">(U24-T24)/T24</f>
        <v>1.6310865915087552E-2</v>
      </c>
      <c r="V25" s="108">
        <f t="shared" si="27"/>
        <v>2.4545669105499174E-2</v>
      </c>
      <c r="W25" s="108">
        <f t="shared" si="27"/>
        <v>1.6125316747293249E-2</v>
      </c>
      <c r="X25" s="108">
        <f t="shared" si="27"/>
        <v>1.2695533892541374E-2</v>
      </c>
      <c r="Y25" s="108">
        <f t="shared" si="27"/>
        <v>1.1864786209984329E-2</v>
      </c>
      <c r="Z25" s="156">
        <f t="shared" ref="Z25" si="28">(Z24-Y24)/Y24</f>
        <v>3.0530973451327433E-2</v>
      </c>
      <c r="AA25" s="109">
        <v>0.03</v>
      </c>
    </row>
    <row r="26" spans="2:31" x14ac:dyDescent="0.2">
      <c r="B26" s="1" t="str">
        <f>'Statement Y'!B174</f>
        <v>Avg subscription revenue per AHSC</v>
      </c>
      <c r="C26" s="167">
        <f>'Statement Y'!D174</f>
        <v>46.053037608486015</v>
      </c>
      <c r="D26" s="167">
        <f>'Statement Y'!E174</f>
        <v>45.159313725490193</v>
      </c>
      <c r="E26" s="167">
        <f>'Statement Y'!F174</f>
        <v>45.94168286587059</v>
      </c>
      <c r="F26" s="167">
        <f>'Statement Y'!G174</f>
        <v>46.754699024506309</v>
      </c>
      <c r="G26" s="168">
        <f>'Statement Y'!H174</f>
        <v>48.61785556047851</v>
      </c>
      <c r="H26" s="94">
        <f>G26*(1+H27)</f>
        <v>49.590212671688079</v>
      </c>
      <c r="I26" s="94">
        <f t="shared" ref="I26:L26" si="29">H26*(1+I27)</f>
        <v>50.334065861763392</v>
      </c>
      <c r="J26" s="94">
        <f t="shared" si="29"/>
        <v>49.830725203145761</v>
      </c>
      <c r="K26" s="94">
        <f t="shared" si="29"/>
        <v>50.32903245517722</v>
      </c>
      <c r="L26" s="94">
        <f t="shared" si="29"/>
        <v>51.083967942004875</v>
      </c>
      <c r="O26" s="91"/>
      <c r="R26" s="1" t="str">
        <f>'Statement Q'!B164</f>
        <v>Avg subscription revenue per AHSC</v>
      </c>
      <c r="S26" s="167">
        <f>'Statement Q'!C164</f>
        <v>11.498646986469865</v>
      </c>
      <c r="T26" s="167">
        <f>'Statement Q'!D164</f>
        <v>11.660350203885823</v>
      </c>
      <c r="U26" s="167">
        <f>'Statement Q'!E164</f>
        <v>11.650460231295728</v>
      </c>
      <c r="V26" s="167">
        <f>'Statement Q'!F164</f>
        <v>11.931121861322277</v>
      </c>
      <c r="W26" s="167">
        <f>'Statement Q'!G164</f>
        <v>12.322602584447971</v>
      </c>
      <c r="X26" s="167">
        <f>'Statement Q'!H164</f>
        <v>12.021938661293934</v>
      </c>
      <c r="Y26" s="167">
        <f>'Statement Q'!I164</f>
        <v>12.274336283185841</v>
      </c>
      <c r="Z26" s="168">
        <f>'Statement Q'!J164</f>
        <v>12.006011163589523</v>
      </c>
      <c r="AA26" s="94">
        <f>Z26*(1+AA27)</f>
        <v>11.885951051953628</v>
      </c>
      <c r="AE26" s="94">
        <f>SUM(X26:AA26)</f>
        <v>48.188237160022922</v>
      </c>
    </row>
    <row r="27" spans="2:31" x14ac:dyDescent="0.2">
      <c r="B27" s="106" t="s">
        <v>276</v>
      </c>
      <c r="C27" s="155"/>
      <c r="D27" s="108">
        <f>(D26-C26)/C26</f>
        <v>-1.9406404645741299E-2</v>
      </c>
      <c r="E27" s="108">
        <f t="shared" ref="E27:G27" si="30">(E26-D26)/D26</f>
        <v>1.7324646365004161E-2</v>
      </c>
      <c r="F27" s="108">
        <f t="shared" si="30"/>
        <v>1.7696699552982569E-2</v>
      </c>
      <c r="G27" s="156">
        <f t="shared" si="30"/>
        <v>3.9849610303247483E-2</v>
      </c>
      <c r="H27" s="109">
        <v>0.02</v>
      </c>
      <c r="I27" s="109">
        <v>1.4999999999999999E-2</v>
      </c>
      <c r="J27" s="109">
        <v>-0.01</v>
      </c>
      <c r="K27" s="109">
        <v>0.01</v>
      </c>
      <c r="L27" s="109">
        <v>1.4999999999999999E-2</v>
      </c>
      <c r="O27" s="91"/>
      <c r="R27" s="106" t="s">
        <v>276</v>
      </c>
      <c r="S27" s="155"/>
      <c r="T27" s="108">
        <f>(T26-S26)/S26</f>
        <v>1.4062803876510856E-2</v>
      </c>
      <c r="U27" s="108">
        <f t="shared" ref="U27:Y27" si="31">(U26-T26)/T26</f>
        <v>-8.4817114556294364E-4</v>
      </c>
      <c r="V27" s="108">
        <f t="shared" si="31"/>
        <v>2.4090175362568848E-2</v>
      </c>
      <c r="W27" s="108">
        <f t="shared" si="31"/>
        <v>3.2811727822073207E-2</v>
      </c>
      <c r="X27" s="108">
        <f t="shared" si="31"/>
        <v>-2.4399384877793334E-2</v>
      </c>
      <c r="Y27" s="108">
        <f t="shared" si="31"/>
        <v>2.0994752094729223E-2</v>
      </c>
      <c r="Z27" s="156">
        <f t="shared" ref="Z27:Z29" si="32">(Z26-Y26)/Y26</f>
        <v>-2.1860662230990553E-2</v>
      </c>
      <c r="AA27" s="109">
        <v>-0.01</v>
      </c>
    </row>
    <row r="28" spans="2:31" x14ac:dyDescent="0.2">
      <c r="B28" s="1" t="str">
        <f>'Statement Y'!B178</f>
        <v>Annual patient visits</v>
      </c>
      <c r="C28" s="155"/>
      <c r="D28" s="114">
        <f>'Statement Y'!E178</f>
        <v>120000</v>
      </c>
      <c r="E28" s="114">
        <f>'Statement Y'!F178</f>
        <v>150000</v>
      </c>
      <c r="F28" s="114">
        <f>'Statement Y'!G178</f>
        <v>170000</v>
      </c>
      <c r="G28" s="166">
        <f>'Statement Y'!H178</f>
        <v>180000</v>
      </c>
      <c r="H28" s="104">
        <f>H24*H30</f>
        <v>183253.49999999994</v>
      </c>
      <c r="I28" s="104">
        <f t="shared" ref="I28:L28" si="33">I24*I30</f>
        <v>187358.3783999999</v>
      </c>
      <c r="J28" s="104">
        <f t="shared" si="33"/>
        <v>201251.00215835989</v>
      </c>
      <c r="K28" s="104">
        <f t="shared" si="33"/>
        <v>228017.38544542179</v>
      </c>
      <c r="L28" s="104">
        <f t="shared" si="33"/>
        <v>268148.44528381608</v>
      </c>
      <c r="O28" s="91"/>
      <c r="R28" s="1" t="str">
        <f>'Statement Q'!B168</f>
        <v>Network solutions revenue per AHSC</v>
      </c>
      <c r="S28" s="167">
        <f>'Statement Q'!C168</f>
        <v>6.7441574415744157</v>
      </c>
      <c r="T28" s="167">
        <f>'Statement Q'!D168</f>
        <v>6.7649316382825617</v>
      </c>
      <c r="U28" s="167">
        <f>'Statement Q'!E168</f>
        <v>7.7255133349067737</v>
      </c>
      <c r="V28" s="167">
        <f>'Statement Q'!F168</f>
        <v>7.6507717115871916</v>
      </c>
      <c r="W28" s="167">
        <f>'Statement Q'!G168</f>
        <v>7.1766039446837455</v>
      </c>
      <c r="X28" s="167">
        <f>'Statement Q'!H168</f>
        <v>7.8712782628162081</v>
      </c>
      <c r="Y28" s="167">
        <f>'Statement Q'!I168</f>
        <v>8.2811946902654867</v>
      </c>
      <c r="Z28" s="168">
        <f>'Statement Q'!J168</f>
        <v>7.6047659939888366</v>
      </c>
      <c r="AA28" s="94">
        <f>Z28*(1+AA29)</f>
        <v>7.3766230141691711</v>
      </c>
      <c r="AE28" s="94">
        <f>SUM(X28:AA28)</f>
        <v>31.133861961239703</v>
      </c>
    </row>
    <row r="29" spans="2:31" x14ac:dyDescent="0.2">
      <c r="B29" s="106" t="s">
        <v>193</v>
      </c>
      <c r="C29" s="155"/>
      <c r="D29" s="155"/>
      <c r="E29" s="108">
        <f>(E28-D28)/D28</f>
        <v>0.25</v>
      </c>
      <c r="F29" s="108">
        <f t="shared" ref="F29:G29" si="34">(F28-E28)/E28</f>
        <v>0.13333333333333333</v>
      </c>
      <c r="G29" s="156">
        <f t="shared" si="34"/>
        <v>5.8823529411764705E-2</v>
      </c>
      <c r="H29" s="108">
        <f>(H28-G28)/G28</f>
        <v>1.8074999999999678E-2</v>
      </c>
      <c r="I29" s="108">
        <f t="shared" ref="I29:L29" si="35">(I28-H28)/H28</f>
        <v>2.2399999999999778E-2</v>
      </c>
      <c r="J29" s="108">
        <f t="shared" si="35"/>
        <v>7.4149999999999966E-2</v>
      </c>
      <c r="K29" s="108">
        <f t="shared" si="35"/>
        <v>0.1330000000000002</v>
      </c>
      <c r="L29" s="108">
        <f t="shared" si="35"/>
        <v>0.17600000000000021</v>
      </c>
      <c r="O29" s="91"/>
      <c r="R29" s="106" t="s">
        <v>200</v>
      </c>
      <c r="S29" s="107"/>
      <c r="T29" s="108">
        <f>(T28-S28)/S28</f>
        <v>3.0803249906479575E-3</v>
      </c>
      <c r="U29" s="108">
        <f t="shared" ref="U29:Y29" si="36">(U28-T28)/T28</f>
        <v>0.14199429469298797</v>
      </c>
      <c r="V29" s="108">
        <f t="shared" si="36"/>
        <v>-9.6746481533947215E-3</v>
      </c>
      <c r="W29" s="108">
        <f t="shared" si="36"/>
        <v>-6.1976462607727913E-2</v>
      </c>
      <c r="X29" s="108">
        <f t="shared" si="36"/>
        <v>9.679708166800266E-2</v>
      </c>
      <c r="Y29" s="108">
        <f t="shared" si="36"/>
        <v>5.2077491579190789E-2</v>
      </c>
      <c r="Z29" s="156">
        <f t="shared" si="32"/>
        <v>-8.168250132698722E-2</v>
      </c>
      <c r="AA29" s="109">
        <v>-0.03</v>
      </c>
    </row>
    <row r="30" spans="2:31" x14ac:dyDescent="0.2">
      <c r="B30" s="1" t="str">
        <f>'Statement Y'!B188</f>
        <v>Patient visit per AHSC</v>
      </c>
      <c r="C30" s="155"/>
      <c r="D30" s="167">
        <f>'Statement Y'!E188</f>
        <v>42.016806722689076</v>
      </c>
      <c r="E30" s="167">
        <f>'Statement Y'!F188</f>
        <v>41.655095806720354</v>
      </c>
      <c r="F30" s="167">
        <f>'Statement Y'!G188</f>
        <v>40.447299547941945</v>
      </c>
      <c r="G30" s="168">
        <f>'Statement Y'!H188</f>
        <v>39.875941515285774</v>
      </c>
      <c r="H30" s="94">
        <f>G30*(1+H31)</f>
        <v>38.480283562250769</v>
      </c>
      <c r="I30" s="94">
        <f t="shared" ref="I30:L30" si="37">H30*(1+I31)</f>
        <v>36.941072219760734</v>
      </c>
      <c r="J30" s="94">
        <f t="shared" si="37"/>
        <v>36.571661497563127</v>
      </c>
      <c r="K30" s="94">
        <f t="shared" si="37"/>
        <v>37.668811342490024</v>
      </c>
      <c r="L30" s="94">
        <f t="shared" si="37"/>
        <v>39.552251909614526</v>
      </c>
      <c r="O30" s="91"/>
    </row>
    <row r="31" spans="2:31" x14ac:dyDescent="0.2">
      <c r="B31" s="106" t="s">
        <v>190</v>
      </c>
      <c r="C31" s="155"/>
      <c r="D31" s="155"/>
      <c r="E31" s="108">
        <f>(E30-D30)/D30</f>
        <v>-8.6087198000555781E-3</v>
      </c>
      <c r="F31" s="108">
        <f t="shared" ref="F31:G31" si="38">(F30-E30)/E30</f>
        <v>-2.8995162185740331E-2</v>
      </c>
      <c r="G31" s="156">
        <f t="shared" si="38"/>
        <v>-1.4125987125022867E-2</v>
      </c>
      <c r="H31" s="109">
        <v>-3.5000000000000003E-2</v>
      </c>
      <c r="I31" s="109">
        <v>-0.04</v>
      </c>
      <c r="J31" s="109">
        <v>-0.01</v>
      </c>
      <c r="K31" s="109">
        <v>0.03</v>
      </c>
      <c r="L31" s="109">
        <v>0.05</v>
      </c>
      <c r="O31" s="91"/>
    </row>
    <row r="32" spans="2:31" x14ac:dyDescent="0.2">
      <c r="B32" s="1" t="str">
        <f>'Statement Y'!B189</f>
        <v>Revenue per visit</v>
      </c>
      <c r="C32" s="155"/>
      <c r="D32" s="167">
        <f>'Statement Y'!E189</f>
        <v>0.61305833333333337</v>
      </c>
      <c r="E32" s="167">
        <f>'Statement Y'!F189</f>
        <v>0.64168666666666663</v>
      </c>
      <c r="F32" s="167">
        <f>'Statement Y'!G189</f>
        <v>0.71507647058823531</v>
      </c>
      <c r="G32" s="168">
        <f>'Statement Y'!H189</f>
        <v>0.77595000000000003</v>
      </c>
      <c r="H32" s="94">
        <f>G32*(1+H33)</f>
        <v>0.77982974999999999</v>
      </c>
      <c r="I32" s="94">
        <f t="shared" ref="I32:L32" si="39">H32*(1+I33)</f>
        <v>0.79542634499999998</v>
      </c>
      <c r="J32" s="94">
        <f t="shared" si="39"/>
        <v>0.83519766225000003</v>
      </c>
      <c r="K32" s="94">
        <f t="shared" si="39"/>
        <v>0.90201347523000008</v>
      </c>
      <c r="L32" s="94">
        <f t="shared" si="39"/>
        <v>1.0012349575053001</v>
      </c>
      <c r="O32" s="91"/>
    </row>
    <row r="33" spans="2:15" x14ac:dyDescent="0.2">
      <c r="B33" s="106" t="s">
        <v>192</v>
      </c>
      <c r="C33" s="155"/>
      <c r="D33" s="155"/>
      <c r="E33" s="108">
        <f>(E32-D32)/D32</f>
        <v>4.6697568203134428E-2</v>
      </c>
      <c r="F33" s="108">
        <f t="shared" ref="F33:G33" si="40">(F32-E32)/E32</f>
        <v>0.11437015561317884</v>
      </c>
      <c r="G33" s="156">
        <f t="shared" si="40"/>
        <v>8.5128698699439814E-2</v>
      </c>
      <c r="H33" s="109">
        <v>5.0000000000000001E-3</v>
      </c>
      <c r="I33" s="109">
        <v>0.02</v>
      </c>
      <c r="J33" s="109">
        <v>0.05</v>
      </c>
      <c r="K33" s="109">
        <v>0.08</v>
      </c>
      <c r="L33" s="109">
        <v>0.11</v>
      </c>
      <c r="O33" s="91"/>
    </row>
    <row r="34" spans="2:15" x14ac:dyDescent="0.2">
      <c r="O34" s="91"/>
    </row>
    <row r="35" spans="2:15" x14ac:dyDescent="0.2">
      <c r="O35" s="91"/>
    </row>
    <row r="36" spans="2:15" x14ac:dyDescent="0.2">
      <c r="O36" s="91"/>
    </row>
    <row r="37" spans="2:15" x14ac:dyDescent="0.2">
      <c r="O37" s="91"/>
    </row>
  </sheetData>
  <mergeCells count="10">
    <mergeCell ref="C11:L11"/>
    <mergeCell ref="S11:AC11"/>
    <mergeCell ref="C18:L18"/>
    <mergeCell ref="S18:AC18"/>
    <mergeCell ref="C2:G2"/>
    <mergeCell ref="H2:L2"/>
    <mergeCell ref="S2:Z2"/>
    <mergeCell ref="AA2:AC2"/>
    <mergeCell ref="C4:L4"/>
    <mergeCell ref="S4:AC4"/>
  </mergeCells>
  <pageMargins left="0.7" right="0.7" top="0.75" bottom="0.75" header="0.3" footer="0.3"/>
  <ignoredErrors>
    <ignoredError sqref="H14:L14 D26:G26 E28:G28 E30:G30 E32:G32 AA7 T26:Z26 T28:Z2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00B95-C73B-DE45-810A-339C166CC319}">
  <dimension ref="A1:AB27"/>
  <sheetViews>
    <sheetView topLeftCell="T17" zoomScale="178" zoomScaleNormal="100" workbookViewId="0">
      <selection activeCell="X17" sqref="X17"/>
    </sheetView>
  </sheetViews>
  <sheetFormatPr baseColWidth="10" defaultRowHeight="16" x14ac:dyDescent="0.2"/>
  <cols>
    <col min="1" max="1" width="2" style="14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143" customFormat="1" ht="18" customHeight="1" x14ac:dyDescent="0.2">
      <c r="A1" s="141"/>
      <c r="B1" s="142" t="s">
        <v>278</v>
      </c>
    </row>
    <row r="2" spans="1:28" x14ac:dyDescent="0.2">
      <c r="A2" s="141"/>
      <c r="C2" s="233" t="s">
        <v>112</v>
      </c>
      <c r="D2" s="233"/>
      <c r="E2" s="233"/>
      <c r="F2" s="233"/>
      <c r="G2" s="234"/>
      <c r="H2" s="235" t="s">
        <v>113</v>
      </c>
      <c r="I2" s="233"/>
      <c r="J2" s="233"/>
      <c r="K2" s="233"/>
      <c r="L2" s="233"/>
      <c r="P2" s="233" t="s">
        <v>112</v>
      </c>
      <c r="Q2" s="233"/>
      <c r="R2" s="233"/>
      <c r="S2" s="233"/>
      <c r="T2" s="233"/>
      <c r="U2" s="233"/>
      <c r="V2" s="233"/>
      <c r="W2" s="233"/>
      <c r="X2" s="233" t="s">
        <v>113</v>
      </c>
      <c r="Y2" s="233"/>
      <c r="Z2" s="233"/>
      <c r="AB2" s="145" t="s">
        <v>74</v>
      </c>
    </row>
    <row r="3" spans="1:28" ht="10" customHeight="1" x14ac:dyDescent="0.2"/>
    <row r="4" spans="1:28" ht="16" customHeight="1" x14ac:dyDescent="0.2">
      <c r="A4" s="146"/>
      <c r="B4" s="93"/>
      <c r="C4" s="230" t="s">
        <v>188</v>
      </c>
      <c r="D4" s="230"/>
      <c r="E4" s="230"/>
      <c r="F4" s="230"/>
      <c r="G4" s="230"/>
      <c r="H4" s="230"/>
      <c r="I4" s="230"/>
      <c r="J4" s="230"/>
      <c r="K4" s="230"/>
      <c r="L4" s="230"/>
      <c r="P4" s="232" t="s">
        <v>188</v>
      </c>
      <c r="Q4" s="232"/>
      <c r="R4" s="232"/>
      <c r="S4" s="232"/>
      <c r="T4" s="232"/>
      <c r="U4" s="232"/>
      <c r="V4" s="232"/>
      <c r="W4" s="232"/>
      <c r="X4" s="232"/>
      <c r="Y4" s="232"/>
      <c r="Z4" s="232"/>
      <c r="AB4" s="147" t="str">
        <f>Revenue!AE4</f>
        <v>Q2-Q3-Q4</v>
      </c>
    </row>
    <row r="5" spans="1:28" x14ac:dyDescent="0.2">
      <c r="B5" s="7" t="s">
        <v>267</v>
      </c>
      <c r="C5" s="64">
        <f>Revenue!C5</f>
        <v>2022</v>
      </c>
      <c r="D5" s="64">
        <f>Revenue!D5</f>
        <v>2023</v>
      </c>
      <c r="E5" s="64">
        <f>Revenue!E5</f>
        <v>2024</v>
      </c>
      <c r="F5" s="64">
        <f>Revenue!F5</f>
        <v>2025</v>
      </c>
      <c r="G5" s="64">
        <f>Revenue!G5</f>
        <v>2026</v>
      </c>
      <c r="H5" s="64">
        <f>Revenue!H5</f>
        <v>2027</v>
      </c>
      <c r="I5" s="64">
        <f>Revenue!I5</f>
        <v>2028</v>
      </c>
      <c r="J5" s="64">
        <f>Revenue!J5</f>
        <v>2029</v>
      </c>
      <c r="K5" s="64">
        <f>Revenue!K5</f>
        <v>2030</v>
      </c>
      <c r="L5" s="64">
        <f>Revenue!L5</f>
        <v>2031</v>
      </c>
      <c r="O5" s="7" t="s">
        <v>268</v>
      </c>
      <c r="P5" s="64" t="str">
        <f>Revenue!S5</f>
        <v>Q1 2025</v>
      </c>
      <c r="Q5" s="64" t="str">
        <f>Revenue!T5</f>
        <v>Q2 2025</v>
      </c>
      <c r="R5" s="64" t="str">
        <f>Revenue!U5</f>
        <v>Q3 2025</v>
      </c>
      <c r="S5" s="64" t="str">
        <f>Revenue!V5</f>
        <v>Q4 2025</v>
      </c>
      <c r="T5" s="64" t="str">
        <f>Revenue!W5</f>
        <v>Q1 2026</v>
      </c>
      <c r="U5" s="64" t="str">
        <f>Revenue!X5</f>
        <v>Q2 2026</v>
      </c>
      <c r="V5" s="64" t="str">
        <f>Revenue!Y5</f>
        <v>Q3 2026</v>
      </c>
      <c r="W5" s="64" t="str">
        <f>Revenue!Z5</f>
        <v>Q4 2026</v>
      </c>
      <c r="X5" s="64" t="s">
        <v>269</v>
      </c>
      <c r="Y5" s="64" t="s">
        <v>270</v>
      </c>
      <c r="Z5" s="64" t="s">
        <v>271</v>
      </c>
      <c r="AB5" s="147" t="str">
        <f>Revenue!AE5</f>
        <v>FQ1</v>
      </c>
    </row>
    <row r="6" spans="1:28" x14ac:dyDescent="0.2">
      <c r="B6" s="7" t="s">
        <v>6</v>
      </c>
      <c r="C6" s="152">
        <f>Revenue!C9</f>
        <v>213233</v>
      </c>
      <c r="D6" s="152">
        <f>Revenue!D9</f>
        <v>280910</v>
      </c>
      <c r="E6" s="152">
        <f>Revenue!E9</f>
        <v>356299</v>
      </c>
      <c r="F6" s="152">
        <f>Revenue!F9</f>
        <v>419813</v>
      </c>
      <c r="G6" s="153">
        <f>Revenue!G9</f>
        <v>480591</v>
      </c>
      <c r="H6" s="152">
        <f>Revenue!H9</f>
        <v>512003.95319162495</v>
      </c>
      <c r="I6" s="152">
        <f>Revenue!I9</f>
        <v>544078.91490638629</v>
      </c>
      <c r="J6" s="152">
        <f>Revenue!J9</f>
        <v>591204.36583610985</v>
      </c>
      <c r="K6" s="152">
        <f>Revenue!K9</f>
        <v>670128.09104058379</v>
      </c>
      <c r="L6" s="152">
        <f>Revenue!L9</f>
        <v>786430.37228098325</v>
      </c>
      <c r="N6" s="92"/>
      <c r="O6" s="7" t="s">
        <v>6</v>
      </c>
      <c r="P6" s="152">
        <f>Revenue!S9</f>
        <v>101217</v>
      </c>
      <c r="Q6" s="152">
        <f>Revenue!T9</f>
        <v>102115</v>
      </c>
      <c r="R6" s="152">
        <f>Revenue!U9</f>
        <v>106800</v>
      </c>
      <c r="S6" s="152">
        <f>Revenue!V9</f>
        <v>109681</v>
      </c>
      <c r="T6" s="152">
        <f>Revenue!W9</f>
        <v>115936</v>
      </c>
      <c r="U6" s="152">
        <f>Revenue!X9</f>
        <v>117255</v>
      </c>
      <c r="V6" s="152">
        <f>Revenue!Y9</f>
        <v>120333</v>
      </c>
      <c r="W6" s="170">
        <f>Revenue!Z9</f>
        <v>127067</v>
      </c>
      <c r="X6" s="152">
        <f>Revenue!AA9</f>
        <v>136425.74209999997</v>
      </c>
      <c r="Y6" s="152">
        <f>[2]Revenue!AB11</f>
        <v>0</v>
      </c>
      <c r="Z6" s="152">
        <f>[2]Revenue!AC11</f>
        <v>0</v>
      </c>
      <c r="AB6" s="154">
        <f>SUM(U6:X6)</f>
        <v>501080.74209999997</v>
      </c>
    </row>
    <row r="7" spans="1:28" x14ac:dyDescent="0.2">
      <c r="N7" s="92"/>
    </row>
    <row r="8" spans="1:28" x14ac:dyDescent="0.2">
      <c r="N8" s="92"/>
    </row>
    <row r="9" spans="1:28" x14ac:dyDescent="0.2">
      <c r="C9" s="230" t="s">
        <v>279</v>
      </c>
      <c r="D9" s="230"/>
      <c r="E9" s="230"/>
      <c r="F9" s="230"/>
      <c r="G9" s="230"/>
      <c r="H9" s="230"/>
      <c r="I9" s="230"/>
      <c r="J9" s="230"/>
      <c r="K9" s="230"/>
      <c r="L9" s="230"/>
      <c r="N9" s="92"/>
      <c r="P9" s="232" t="s">
        <v>280</v>
      </c>
      <c r="Q9" s="232"/>
      <c r="R9" s="232"/>
      <c r="S9" s="232"/>
      <c r="T9" s="232"/>
      <c r="U9" s="232"/>
      <c r="V9" s="232"/>
      <c r="W9" s="232"/>
      <c r="X9" s="232"/>
      <c r="Y9" s="232"/>
      <c r="Z9" s="232"/>
      <c r="AB9" s="147" t="str">
        <f>AB4</f>
        <v>Q2-Q3-Q4</v>
      </c>
    </row>
    <row r="10" spans="1:28" x14ac:dyDescent="0.2">
      <c r="B10" s="7" t="s">
        <v>281</v>
      </c>
      <c r="C10" s="64">
        <f t="shared" ref="C10:L10" si="0">C5</f>
        <v>2022</v>
      </c>
      <c r="D10" s="64">
        <f t="shared" si="0"/>
        <v>2023</v>
      </c>
      <c r="E10" s="64">
        <f t="shared" si="0"/>
        <v>2024</v>
      </c>
      <c r="F10" s="64">
        <f t="shared" si="0"/>
        <v>2025</v>
      </c>
      <c r="G10" s="64">
        <f t="shared" si="0"/>
        <v>2026</v>
      </c>
      <c r="H10" s="64">
        <f t="shared" si="0"/>
        <v>2027</v>
      </c>
      <c r="I10" s="64">
        <f t="shared" si="0"/>
        <v>2028</v>
      </c>
      <c r="J10" s="64">
        <f t="shared" si="0"/>
        <v>2029</v>
      </c>
      <c r="K10" s="64">
        <f t="shared" si="0"/>
        <v>2030</v>
      </c>
      <c r="L10" s="64">
        <f t="shared" si="0"/>
        <v>2031</v>
      </c>
      <c r="N10" s="92"/>
      <c r="O10" s="7" t="s">
        <v>282</v>
      </c>
      <c r="P10" s="64" t="str">
        <f t="shared" ref="P10:Z10" si="1">P5</f>
        <v>Q1 2025</v>
      </c>
      <c r="Q10" s="64" t="str">
        <f t="shared" si="1"/>
        <v>Q2 2025</v>
      </c>
      <c r="R10" s="64" t="str">
        <f t="shared" si="1"/>
        <v>Q3 2025</v>
      </c>
      <c r="S10" s="64" t="str">
        <f t="shared" si="1"/>
        <v>Q4 2025</v>
      </c>
      <c r="T10" s="64" t="str">
        <f t="shared" si="1"/>
        <v>Q1 2026</v>
      </c>
      <c r="U10" s="64" t="str">
        <f t="shared" si="1"/>
        <v>Q2 2026</v>
      </c>
      <c r="V10" s="64" t="str">
        <f t="shared" si="1"/>
        <v>Q3 2026</v>
      </c>
      <c r="W10" s="64" t="str">
        <f t="shared" si="1"/>
        <v>Q4 2026</v>
      </c>
      <c r="X10" s="64" t="str">
        <f t="shared" si="1"/>
        <v>FQ1</v>
      </c>
      <c r="Y10" s="64" t="str">
        <f t="shared" si="1"/>
        <v>FQ2</v>
      </c>
      <c r="Z10" s="64" t="str">
        <f t="shared" si="1"/>
        <v>FQ3</v>
      </c>
      <c r="AB10" s="63" t="str">
        <f>AB5</f>
        <v>FQ1</v>
      </c>
    </row>
    <row r="11" spans="1:28" x14ac:dyDescent="0.2">
      <c r="B11" s="7" t="s">
        <v>7</v>
      </c>
      <c r="C11" s="171">
        <f>'Statement Y'!D6</f>
        <v>81388</v>
      </c>
      <c r="D11" s="171">
        <f>'Statement Y'!E6</f>
        <v>109267</v>
      </c>
      <c r="E11" s="171">
        <f>'Statement Y'!F6</f>
        <v>124011</v>
      </c>
      <c r="F11" s="171">
        <f>'Statement Y'!G6</f>
        <v>134934</v>
      </c>
      <c r="G11" s="170">
        <f>'Statement Y'!H6</f>
        <v>154123</v>
      </c>
      <c r="H11" s="21">
        <f t="shared" ref="H11:L12" si="2">H22*H$6</f>
        <v>158721.22548940373</v>
      </c>
      <c r="I11" s="21">
        <f t="shared" si="2"/>
        <v>157782.885322852</v>
      </c>
      <c r="J11" s="21">
        <f t="shared" si="2"/>
        <v>165537.22243411076</v>
      </c>
      <c r="K11" s="21">
        <f t="shared" si="2"/>
        <v>187635.86549136348</v>
      </c>
      <c r="L11" s="21">
        <f t="shared" si="2"/>
        <v>228064.80796148512</v>
      </c>
      <c r="N11" s="92"/>
      <c r="O11" s="7" t="s">
        <v>7</v>
      </c>
      <c r="P11" s="171">
        <f>'Statement Q'!C6</f>
        <v>34020</v>
      </c>
      <c r="Q11" s="171">
        <f>'Statement Q'!D6</f>
        <v>32811</v>
      </c>
      <c r="R11" s="171">
        <f>'Statement Q'!E6</f>
        <v>34537</v>
      </c>
      <c r="S11" s="171">
        <f>'Statement Q'!F6</f>
        <v>33566</v>
      </c>
      <c r="T11" s="171">
        <f>'Statement Q'!G6</f>
        <v>38065</v>
      </c>
      <c r="U11" s="171">
        <f>'Statement Q'!H6</f>
        <v>37641</v>
      </c>
      <c r="V11" s="171">
        <f>'Statement Q'!I6</f>
        <v>38027</v>
      </c>
      <c r="W11" s="170">
        <f>'Statement Q'!J6</f>
        <v>40390</v>
      </c>
      <c r="X11" s="21">
        <f>X22*X$6</f>
        <v>43656.237471999993</v>
      </c>
      <c r="Y11" s="21"/>
      <c r="Z11" s="21"/>
      <c r="AB11" s="21">
        <f>SUM(U11:X11)</f>
        <v>159714.23747200001</v>
      </c>
    </row>
    <row r="12" spans="1:28" x14ac:dyDescent="0.2">
      <c r="B12" s="1" t="str">
        <f>'Statement Y'!B8</f>
        <v>Sales and marketing</v>
      </c>
      <c r="C12" s="172">
        <f>'Statement Y'!D8</f>
        <v>106421</v>
      </c>
      <c r="D12" s="172">
        <f>'Statement Y'!E8</f>
        <v>151263</v>
      </c>
      <c r="E12" s="172">
        <f>'Statement Y'!F8</f>
        <v>147008</v>
      </c>
      <c r="F12" s="172">
        <f>'Statement Y'!G8</f>
        <v>121129</v>
      </c>
      <c r="G12" s="173">
        <f>'Statement Y'!H8</f>
        <v>100243</v>
      </c>
      <c r="H12" s="20">
        <f t="shared" si="2"/>
        <v>107520.83017024124</v>
      </c>
      <c r="I12" s="20">
        <f t="shared" si="2"/>
        <v>119697.36127940498</v>
      </c>
      <c r="J12" s="20">
        <f t="shared" si="2"/>
        <v>124152.91682558306</v>
      </c>
      <c r="K12" s="20">
        <f t="shared" si="2"/>
        <v>134025.61820811676</v>
      </c>
      <c r="L12" s="20">
        <f t="shared" si="2"/>
        <v>157286.07445619666</v>
      </c>
      <c r="N12" s="92"/>
      <c r="O12" s="1" t="str">
        <f>'Statement Q'!B8</f>
        <v>Sales and marketing</v>
      </c>
      <c r="P12" s="172">
        <f>'Statement Q'!C8</f>
        <v>32011</v>
      </c>
      <c r="Q12" s="172">
        <f>'Statement Q'!D8</f>
        <v>30184</v>
      </c>
      <c r="R12" s="172">
        <f>'Statement Q'!E8</f>
        <v>30071</v>
      </c>
      <c r="S12" s="172">
        <f>'Statement Q'!F8</f>
        <v>28863</v>
      </c>
      <c r="T12" s="172">
        <f>'Statement Q'!G8</f>
        <v>26043</v>
      </c>
      <c r="U12" s="172">
        <f>'Statement Q'!H8</f>
        <v>25396</v>
      </c>
      <c r="V12" s="172">
        <f>'Statement Q'!I8</f>
        <v>24148</v>
      </c>
      <c r="W12" s="173">
        <f>'Statement Q'!J8</f>
        <v>24656</v>
      </c>
      <c r="X12" s="34">
        <f>X23*X$6</f>
        <v>25920.890998999996</v>
      </c>
      <c r="Y12" s="20"/>
      <c r="Z12" s="20"/>
      <c r="AB12" s="20">
        <f t="shared" ref="AB12:AB17" si="3">SUM(U12:X12)</f>
        <v>100120.890999</v>
      </c>
    </row>
    <row r="13" spans="1:28" x14ac:dyDescent="0.2">
      <c r="B13" s="1" t="str">
        <f>'Statement Y'!B9</f>
        <v>R&amp;D</v>
      </c>
      <c r="C13" s="172">
        <f>'Statement Y'!D9</f>
        <v>52265</v>
      </c>
      <c r="D13" s="172">
        <f>'Statement Y'!E9</f>
        <v>91244</v>
      </c>
      <c r="E13" s="172">
        <f>'Statement Y'!F9</f>
        <v>112346</v>
      </c>
      <c r="F13" s="172">
        <f>'Statement Y'!G9</f>
        <v>117364</v>
      </c>
      <c r="G13" s="173">
        <f>'Statement Y'!H9</f>
        <v>121481</v>
      </c>
      <c r="H13" s="20">
        <f>H24*H$6</f>
        <v>133121.0278298225</v>
      </c>
      <c r="I13" s="20">
        <f t="shared" ref="I13:L13" si="4">I24*I$6</f>
        <v>141460.51787566044</v>
      </c>
      <c r="J13" s="20">
        <f t="shared" si="4"/>
        <v>147801.09145902746</v>
      </c>
      <c r="K13" s="20">
        <f t="shared" si="4"/>
        <v>147428.18002892844</v>
      </c>
      <c r="L13" s="20">
        <f t="shared" si="4"/>
        <v>165150.37817900648</v>
      </c>
      <c r="M13" s="151"/>
      <c r="N13" s="151"/>
      <c r="O13" s="1" t="str">
        <f>'Statement Q'!B9</f>
        <v>R&amp;D</v>
      </c>
      <c r="P13" s="172">
        <f>'Statement Q'!C9</f>
        <v>28881</v>
      </c>
      <c r="Q13" s="172">
        <f>'Statement Q'!D9</f>
        <v>29542</v>
      </c>
      <c r="R13" s="172">
        <f>'Statement Q'!E9</f>
        <v>29315</v>
      </c>
      <c r="S13" s="172">
        <f>'Statement Q'!F9</f>
        <v>29626</v>
      </c>
      <c r="T13" s="172">
        <f>'Statement Q'!G9</f>
        <v>31829</v>
      </c>
      <c r="U13" s="172">
        <f>'Statement Q'!H9</f>
        <v>29274</v>
      </c>
      <c r="V13" s="172">
        <f>'Statement Q'!I9</f>
        <v>29453</v>
      </c>
      <c r="W13" s="173">
        <f>'Statement Q'!J9</f>
        <v>30925</v>
      </c>
      <c r="X13" s="34">
        <f>X24*X$6</f>
        <v>32742.178103999991</v>
      </c>
      <c r="Y13" s="20"/>
      <c r="Z13" s="20"/>
      <c r="AB13" s="20">
        <f t="shared" si="3"/>
        <v>122394.17810399999</v>
      </c>
    </row>
    <row r="14" spans="1:28" x14ac:dyDescent="0.2">
      <c r="B14" s="1" t="str">
        <f>'Statement Y'!B10</f>
        <v>General and administrative</v>
      </c>
      <c r="C14" s="172">
        <f>'Statement Y'!D10</f>
        <v>68674</v>
      </c>
      <c r="D14" s="172">
        <f>'Statement Y'!E10</f>
        <v>80384</v>
      </c>
      <c r="E14" s="172">
        <f>'Statement Y'!F10</f>
        <v>79926</v>
      </c>
      <c r="F14" s="172">
        <f>'Statement Y'!G10</f>
        <v>76597</v>
      </c>
      <c r="G14" s="173">
        <f>'Statement Y'!H10</f>
        <v>79903</v>
      </c>
      <c r="H14" s="20">
        <f t="shared" ref="H14" si="5">H25*H$6</f>
        <v>79360.612744701866</v>
      </c>
      <c r="I14" s="20">
        <f t="shared" ref="I14:L14" si="6">I25*I$6</f>
        <v>89228.942044647352</v>
      </c>
      <c r="J14" s="20">
        <f t="shared" si="6"/>
        <v>94592.698533777584</v>
      </c>
      <c r="K14" s="20">
        <f t="shared" si="6"/>
        <v>113921.77547689926</v>
      </c>
      <c r="L14" s="20">
        <f t="shared" si="6"/>
        <v>125828.85956495733</v>
      </c>
      <c r="M14" s="151"/>
      <c r="N14" s="151"/>
      <c r="O14" s="1" t="str">
        <f>'Statement Q'!B10</f>
        <v>General and administrative</v>
      </c>
      <c r="P14" s="172">
        <f>'Statement Q'!C10</f>
        <v>19052</v>
      </c>
      <c r="Q14" s="172">
        <f>'Statement Q'!D10</f>
        <v>19497</v>
      </c>
      <c r="R14" s="172">
        <f>'Statement Q'!E10</f>
        <v>19633</v>
      </c>
      <c r="S14" s="172">
        <f>'Statement Q'!F10</f>
        <v>18415</v>
      </c>
      <c r="T14" s="172">
        <f>'Statement Q'!G10</f>
        <v>16408</v>
      </c>
      <c r="U14" s="172">
        <f>'Statement Q'!H10</f>
        <v>19042</v>
      </c>
      <c r="V14" s="172">
        <f>'Statement Q'!I10</f>
        <v>17488</v>
      </c>
      <c r="W14" s="173">
        <f>'Statement Q'!J10</f>
        <v>26965</v>
      </c>
      <c r="X14" s="34">
        <f>X25*X$6</f>
        <v>25920.890998999996</v>
      </c>
      <c r="Y14" s="20"/>
      <c r="Z14" s="20"/>
      <c r="AB14" s="20">
        <f t="shared" si="3"/>
        <v>89415.890998999996</v>
      </c>
    </row>
    <row r="15" spans="1:28" x14ac:dyDescent="0.2">
      <c r="B15" s="1" t="str">
        <f>'Statement Y'!B11</f>
        <v>Depreciation</v>
      </c>
      <c r="C15" s="172">
        <f>'Statement Y'!D11</f>
        <v>14985</v>
      </c>
      <c r="D15" s="172">
        <f>'Statement Y'!E11</f>
        <v>17988</v>
      </c>
      <c r="E15" s="172">
        <f>'Statement Y'!F11</f>
        <v>17584</v>
      </c>
      <c r="F15" s="172">
        <f>'Statement Y'!G11</f>
        <v>14183</v>
      </c>
      <c r="G15" s="173">
        <f>'Statement Y'!H11</f>
        <v>12972</v>
      </c>
      <c r="H15" s="20">
        <f t="shared" ref="H15:L16" si="7">H26*H$6</f>
        <v>12288.094876599</v>
      </c>
      <c r="I15" s="20">
        <f t="shared" si="7"/>
        <v>13601.972872659659</v>
      </c>
      <c r="J15" s="20">
        <f t="shared" si="7"/>
        <v>13597.700414230527</v>
      </c>
      <c r="K15" s="20">
        <f t="shared" si="7"/>
        <v>13402.561820811676</v>
      </c>
      <c r="L15" s="20">
        <f t="shared" si="7"/>
        <v>13369.316328776717</v>
      </c>
      <c r="M15" s="151"/>
      <c r="N15" s="151"/>
      <c r="O15" s="1" t="str">
        <f>'Statement Q'!B11</f>
        <v>Depreciation</v>
      </c>
      <c r="P15" s="172">
        <f>'Statement Q'!C11</f>
        <v>3524</v>
      </c>
      <c r="Q15" s="172">
        <f>'Statement Q'!D11</f>
        <v>3921</v>
      </c>
      <c r="R15" s="172">
        <f>'Statement Q'!E11</f>
        <v>3566</v>
      </c>
      <c r="S15" s="172">
        <f>'Statement Q'!F11</f>
        <v>3172</v>
      </c>
      <c r="T15" s="172">
        <f>'Statement Q'!G11</f>
        <v>2986</v>
      </c>
      <c r="U15" s="172">
        <f>'Statement Q'!H11</f>
        <v>3279</v>
      </c>
      <c r="V15" s="172">
        <f>'Statement Q'!I11</f>
        <v>3199</v>
      </c>
      <c r="W15" s="173">
        <f>'Statement Q'!J11</f>
        <v>3508</v>
      </c>
      <c r="X15" s="34">
        <f t="shared" ref="X15:X16" si="8">X26*X$6</f>
        <v>4092.7722629999989</v>
      </c>
      <c r="Y15" s="20"/>
      <c r="Z15" s="20"/>
      <c r="AB15" s="20">
        <f t="shared" si="3"/>
        <v>14078.772262999999</v>
      </c>
    </row>
    <row r="16" spans="1:28" x14ac:dyDescent="0.2">
      <c r="B16" s="1" t="str">
        <f>'Statement Y'!B12</f>
        <v>Amortization</v>
      </c>
      <c r="C16" s="172">
        <f>'Statement Y'!D12</f>
        <v>6317</v>
      </c>
      <c r="D16" s="172">
        <f>'Statement Y'!E12</f>
        <v>7316</v>
      </c>
      <c r="E16" s="172">
        <f>'Statement Y'!F12</f>
        <v>11903</v>
      </c>
      <c r="F16" s="172">
        <f>'Statement Y'!G12</f>
        <v>13703</v>
      </c>
      <c r="G16" s="173">
        <f>'Statement Y'!H12</f>
        <v>18481</v>
      </c>
      <c r="H16" s="20">
        <f t="shared" si="7"/>
        <v>20480.158127664999</v>
      </c>
      <c r="I16" s="20">
        <f t="shared" si="7"/>
        <v>20674.998766442677</v>
      </c>
      <c r="J16" s="20">
        <f t="shared" si="7"/>
        <v>18918.539706755517</v>
      </c>
      <c r="K16" s="20">
        <f t="shared" si="7"/>
        <v>17423.33036705518</v>
      </c>
      <c r="L16" s="20">
        <f t="shared" si="7"/>
        <v>17301.468190181629</v>
      </c>
      <c r="M16" s="151"/>
      <c r="N16" s="151"/>
      <c r="O16" s="1" t="str">
        <f>'Statement Q'!B12</f>
        <v>Amortization</v>
      </c>
      <c r="P16" s="172">
        <f>'Statement Q'!C12</f>
        <v>3149</v>
      </c>
      <c r="Q16" s="172">
        <f>'Statement Q'!D12</f>
        <v>3382</v>
      </c>
      <c r="R16" s="172">
        <f>'Statement Q'!E12</f>
        <v>3521</v>
      </c>
      <c r="S16" s="172">
        <f>'Statement Q'!F12</f>
        <v>3651</v>
      </c>
      <c r="T16" s="172">
        <f>'Statement Q'!G12</f>
        <v>3892</v>
      </c>
      <c r="U16" s="172">
        <f>'Statement Q'!H12</f>
        <v>4130</v>
      </c>
      <c r="V16" s="172">
        <f>'Statement Q'!I12</f>
        <v>4279</v>
      </c>
      <c r="W16" s="173">
        <f>'Statement Q'!J12</f>
        <v>6180</v>
      </c>
      <c r="X16" s="34">
        <f t="shared" si="8"/>
        <v>6821.2871049999994</v>
      </c>
      <c r="Y16" s="20"/>
      <c r="Z16" s="20"/>
      <c r="AB16" s="20">
        <f t="shared" si="3"/>
        <v>21410.287104999999</v>
      </c>
    </row>
    <row r="17" spans="2:28" x14ac:dyDescent="0.2">
      <c r="B17" s="7" t="s">
        <v>11</v>
      </c>
      <c r="C17" s="171">
        <f>'Statement Y'!D13</f>
        <v>248662</v>
      </c>
      <c r="D17" s="171">
        <f>'Statement Y'!E13</f>
        <v>348195</v>
      </c>
      <c r="E17" s="171">
        <f>'Statement Y'!F13</f>
        <v>368767</v>
      </c>
      <c r="F17" s="171">
        <f>'Statement Y'!G13</f>
        <v>342976</v>
      </c>
      <c r="G17" s="170">
        <f>'Statement Y'!H13</f>
        <v>333080</v>
      </c>
      <c r="H17" s="21">
        <f>SUM(H12:H16)</f>
        <v>352770.72374902957</v>
      </c>
      <c r="I17" s="21">
        <f t="shared" ref="I17:L17" si="9">SUM(I12:I16)</f>
        <v>384663.79283881519</v>
      </c>
      <c r="J17" s="21">
        <f t="shared" si="9"/>
        <v>399062.94693937409</v>
      </c>
      <c r="K17" s="21">
        <f t="shared" si="9"/>
        <v>426201.46590181126</v>
      </c>
      <c r="L17" s="21">
        <f t="shared" si="9"/>
        <v>478936.09671911882</v>
      </c>
      <c r="M17" s="151"/>
      <c r="N17" s="151"/>
      <c r="O17" s="7" t="s">
        <v>11</v>
      </c>
      <c r="P17" s="171">
        <f>'Statement Q'!C13</f>
        <v>86617</v>
      </c>
      <c r="Q17" s="171">
        <f>'Statement Q'!D13</f>
        <v>86526</v>
      </c>
      <c r="R17" s="171">
        <f>'Statement Q'!E13</f>
        <v>86106</v>
      </c>
      <c r="S17" s="171">
        <f>'Statement Q'!F13</f>
        <v>83727</v>
      </c>
      <c r="T17" s="171">
        <f>'Statement Q'!G13</f>
        <v>81158</v>
      </c>
      <c r="U17" s="171">
        <f>'Statement Q'!H13</f>
        <v>81121</v>
      </c>
      <c r="V17" s="171">
        <f>'Statement Q'!I13</f>
        <v>78567</v>
      </c>
      <c r="W17" s="170">
        <f>'Statement Q'!J13</f>
        <v>92234</v>
      </c>
      <c r="X17" s="21">
        <f>SUM(X12:X16)</f>
        <v>95498.01946999997</v>
      </c>
      <c r="Y17" s="21"/>
      <c r="Z17" s="21"/>
      <c r="AB17" s="21">
        <f t="shared" si="3"/>
        <v>347420.01946999994</v>
      </c>
    </row>
    <row r="20" spans="2:28" x14ac:dyDescent="0.2">
      <c r="C20" s="230" t="s">
        <v>283</v>
      </c>
      <c r="D20" s="230"/>
      <c r="E20" s="230"/>
      <c r="F20" s="230"/>
      <c r="G20" s="230"/>
      <c r="H20" s="230"/>
      <c r="I20" s="230"/>
      <c r="J20" s="230"/>
      <c r="K20" s="230"/>
      <c r="L20" s="230"/>
      <c r="P20" s="232" t="s">
        <v>283</v>
      </c>
      <c r="Q20" s="232"/>
      <c r="R20" s="232"/>
      <c r="S20" s="232"/>
      <c r="T20" s="232"/>
      <c r="U20" s="232"/>
      <c r="V20" s="232"/>
      <c r="W20" s="232"/>
      <c r="X20" s="232"/>
      <c r="Y20" s="232"/>
      <c r="Z20" s="232"/>
    </row>
    <row r="21" spans="2:28" x14ac:dyDescent="0.2">
      <c r="B21" s="7" t="s">
        <v>114</v>
      </c>
      <c r="C21" s="64">
        <f t="shared" ref="C21:L21" si="10">C5</f>
        <v>2022</v>
      </c>
      <c r="D21" s="64">
        <f t="shared" si="10"/>
        <v>2023</v>
      </c>
      <c r="E21" s="64">
        <f t="shared" si="10"/>
        <v>2024</v>
      </c>
      <c r="F21" s="64">
        <f t="shared" si="10"/>
        <v>2025</v>
      </c>
      <c r="G21" s="64">
        <f t="shared" si="10"/>
        <v>2026</v>
      </c>
      <c r="H21" s="64">
        <f t="shared" si="10"/>
        <v>2027</v>
      </c>
      <c r="I21" s="64">
        <f t="shared" si="10"/>
        <v>2028</v>
      </c>
      <c r="J21" s="64">
        <f t="shared" si="10"/>
        <v>2029</v>
      </c>
      <c r="K21" s="64">
        <f t="shared" si="10"/>
        <v>2030</v>
      </c>
      <c r="L21" s="64">
        <f t="shared" si="10"/>
        <v>2031</v>
      </c>
      <c r="O21" s="7" t="s">
        <v>114</v>
      </c>
      <c r="P21" s="64" t="str">
        <f t="shared" ref="P21:Z21" si="11">P5</f>
        <v>Q1 2025</v>
      </c>
      <c r="Q21" s="64" t="str">
        <f t="shared" si="11"/>
        <v>Q2 2025</v>
      </c>
      <c r="R21" s="64" t="str">
        <f t="shared" si="11"/>
        <v>Q3 2025</v>
      </c>
      <c r="S21" s="64" t="str">
        <f t="shared" si="11"/>
        <v>Q4 2025</v>
      </c>
      <c r="T21" s="64" t="str">
        <f t="shared" si="11"/>
        <v>Q1 2026</v>
      </c>
      <c r="U21" s="64" t="str">
        <f t="shared" si="11"/>
        <v>Q2 2026</v>
      </c>
      <c r="V21" s="64" t="str">
        <f t="shared" si="11"/>
        <v>Q3 2026</v>
      </c>
      <c r="W21" s="64" t="str">
        <f t="shared" si="11"/>
        <v>Q4 2026</v>
      </c>
      <c r="X21" s="64" t="str">
        <f t="shared" si="11"/>
        <v>FQ1</v>
      </c>
      <c r="Y21" s="64" t="str">
        <f t="shared" si="11"/>
        <v>FQ2</v>
      </c>
      <c r="Z21" s="64" t="str">
        <f t="shared" si="11"/>
        <v>FQ3</v>
      </c>
    </row>
    <row r="22" spans="2:28" x14ac:dyDescent="0.2">
      <c r="B22" s="1" t="str">
        <f t="shared" ref="B22:B27" si="12">B11</f>
        <v>COGS</v>
      </c>
      <c r="C22" s="108">
        <f t="shared" ref="C22:G27" si="13">C11/C$6</f>
        <v>0.38168576158474532</v>
      </c>
      <c r="D22" s="108">
        <f t="shared" si="13"/>
        <v>0.3889751165853832</v>
      </c>
      <c r="E22" s="108">
        <f t="shared" si="13"/>
        <v>0.34805318005383118</v>
      </c>
      <c r="F22" s="108">
        <f t="shared" si="13"/>
        <v>0.32141453456658081</v>
      </c>
      <c r="G22" s="156">
        <f t="shared" si="13"/>
        <v>0.32069472794954546</v>
      </c>
      <c r="H22" s="109">
        <v>0.31</v>
      </c>
      <c r="I22" s="109">
        <v>0.28999999999999998</v>
      </c>
      <c r="J22" s="109">
        <v>0.28000000000000003</v>
      </c>
      <c r="K22" s="109">
        <v>0.28000000000000003</v>
      </c>
      <c r="L22" s="109">
        <v>0.28999999999999998</v>
      </c>
      <c r="O22" s="1" t="str">
        <f t="shared" ref="O22:O27" si="14">O11</f>
        <v>COGS</v>
      </c>
      <c r="P22" s="108">
        <f t="shared" ref="P22:W27" si="15">P11/P$6</f>
        <v>0.33610954681525829</v>
      </c>
      <c r="Q22" s="108">
        <f t="shared" si="15"/>
        <v>0.32131420457327525</v>
      </c>
      <c r="R22" s="108">
        <f t="shared" si="15"/>
        <v>0.32338014981273411</v>
      </c>
      <c r="S22" s="108">
        <f t="shared" si="15"/>
        <v>0.30603295010074671</v>
      </c>
      <c r="T22" s="108">
        <f t="shared" si="15"/>
        <v>0.3283276980402981</v>
      </c>
      <c r="U22" s="108">
        <f t="shared" si="15"/>
        <v>0.32101829346296534</v>
      </c>
      <c r="V22" s="108">
        <f t="shared" si="15"/>
        <v>0.31601472580256457</v>
      </c>
      <c r="W22" s="156">
        <f t="shared" si="15"/>
        <v>0.31786380413482651</v>
      </c>
      <c r="X22" s="109">
        <v>0.32</v>
      </c>
      <c r="Y22" s="109"/>
      <c r="Z22" s="109"/>
    </row>
    <row r="23" spans="2:28" x14ac:dyDescent="0.2">
      <c r="B23" s="1" t="str">
        <f t="shared" si="12"/>
        <v>Sales and marketing</v>
      </c>
      <c r="C23" s="108">
        <f t="shared" si="13"/>
        <v>0.49908316254988672</v>
      </c>
      <c r="D23" s="108">
        <f t="shared" si="13"/>
        <v>0.53847495639172693</v>
      </c>
      <c r="E23" s="108">
        <f t="shared" si="13"/>
        <v>0.41259728486467828</v>
      </c>
      <c r="F23" s="108">
        <f t="shared" si="13"/>
        <v>0.28853084587661648</v>
      </c>
      <c r="G23" s="156">
        <f t="shared" si="13"/>
        <v>0.20858276580293847</v>
      </c>
      <c r="H23" s="109">
        <v>0.21</v>
      </c>
      <c r="I23" s="109">
        <v>0.22</v>
      </c>
      <c r="J23" s="109">
        <v>0.21</v>
      </c>
      <c r="K23" s="109">
        <v>0.2</v>
      </c>
      <c r="L23" s="109">
        <v>0.2</v>
      </c>
      <c r="O23" s="1" t="str">
        <f t="shared" si="14"/>
        <v>Sales and marketing</v>
      </c>
      <c r="P23" s="108">
        <f t="shared" si="15"/>
        <v>0.31626110238398686</v>
      </c>
      <c r="Q23" s="108">
        <f t="shared" si="15"/>
        <v>0.29558830730059249</v>
      </c>
      <c r="R23" s="108">
        <f t="shared" si="15"/>
        <v>0.28156367041198505</v>
      </c>
      <c r="S23" s="108">
        <f t="shared" si="15"/>
        <v>0.26315405585288243</v>
      </c>
      <c r="T23" s="108">
        <f t="shared" si="15"/>
        <v>0.22463255589290643</v>
      </c>
      <c r="U23" s="108">
        <f t="shared" si="15"/>
        <v>0.21658777877276023</v>
      </c>
      <c r="V23" s="108">
        <f t="shared" si="15"/>
        <v>0.2006764561674686</v>
      </c>
      <c r="W23" s="156">
        <f t="shared" si="15"/>
        <v>0.19403936505937813</v>
      </c>
      <c r="X23" s="109">
        <v>0.19</v>
      </c>
      <c r="Y23" s="109"/>
      <c r="Z23" s="109"/>
    </row>
    <row r="24" spans="2:28" x14ac:dyDescent="0.2">
      <c r="B24" s="1" t="str">
        <f t="shared" si="12"/>
        <v>R&amp;D</v>
      </c>
      <c r="C24" s="108">
        <f t="shared" si="13"/>
        <v>0.24510746460444677</v>
      </c>
      <c r="D24" s="108">
        <f t="shared" si="13"/>
        <v>0.3248157772952191</v>
      </c>
      <c r="E24" s="108">
        <f t="shared" si="13"/>
        <v>0.31531382350217091</v>
      </c>
      <c r="F24" s="108">
        <f t="shared" si="13"/>
        <v>0.27956256714298988</v>
      </c>
      <c r="G24" s="156">
        <f t="shared" si="13"/>
        <v>0.25277418844714111</v>
      </c>
      <c r="H24" s="109">
        <v>0.26</v>
      </c>
      <c r="I24" s="109">
        <v>0.26</v>
      </c>
      <c r="J24" s="109">
        <v>0.25</v>
      </c>
      <c r="K24" s="109">
        <v>0.22</v>
      </c>
      <c r="L24" s="109">
        <v>0.21</v>
      </c>
      <c r="O24" s="1" t="str">
        <f t="shared" si="14"/>
        <v>R&amp;D</v>
      </c>
      <c r="P24" s="108">
        <f t="shared" si="15"/>
        <v>0.28533744331485816</v>
      </c>
      <c r="Q24" s="108">
        <f t="shared" si="15"/>
        <v>0.28930127797091515</v>
      </c>
      <c r="R24" s="108">
        <f t="shared" si="15"/>
        <v>0.27448501872659176</v>
      </c>
      <c r="S24" s="108">
        <f t="shared" si="15"/>
        <v>0.27011059344827271</v>
      </c>
      <c r="T24" s="108">
        <f t="shared" si="15"/>
        <v>0.27453940104885455</v>
      </c>
      <c r="U24" s="108">
        <f t="shared" si="15"/>
        <v>0.24966099526672636</v>
      </c>
      <c r="V24" s="108">
        <f t="shared" si="15"/>
        <v>0.24476245086551487</v>
      </c>
      <c r="W24" s="156">
        <f t="shared" si="15"/>
        <v>0.2433755420368782</v>
      </c>
      <c r="X24" s="109">
        <v>0.24</v>
      </c>
      <c r="Y24" s="109"/>
      <c r="Z24" s="109"/>
    </row>
    <row r="25" spans="2:28" x14ac:dyDescent="0.2">
      <c r="B25" s="1" t="str">
        <f t="shared" si="12"/>
        <v>General and administrative</v>
      </c>
      <c r="C25" s="108">
        <f t="shared" si="13"/>
        <v>0.322060844240807</v>
      </c>
      <c r="D25" s="108">
        <f t="shared" si="13"/>
        <v>0.28615570823395392</v>
      </c>
      <c r="E25" s="108">
        <f t="shared" si="13"/>
        <v>0.22432282998268308</v>
      </c>
      <c r="F25" s="108">
        <f t="shared" si="13"/>
        <v>0.18245504546071703</v>
      </c>
      <c r="G25" s="156">
        <f t="shared" si="13"/>
        <v>0.16625987586117927</v>
      </c>
      <c r="H25" s="109">
        <v>0.155</v>
      </c>
      <c r="I25" s="109">
        <v>0.16400000000000001</v>
      </c>
      <c r="J25" s="109">
        <v>0.16</v>
      </c>
      <c r="K25" s="109">
        <v>0.17</v>
      </c>
      <c r="L25" s="109">
        <v>0.16</v>
      </c>
      <c r="O25" s="1" t="str">
        <f t="shared" si="14"/>
        <v>General and administrative</v>
      </c>
      <c r="P25" s="108">
        <f t="shared" si="15"/>
        <v>0.18822925002716934</v>
      </c>
      <c r="Q25" s="108">
        <f t="shared" si="15"/>
        <v>0.19093179258678941</v>
      </c>
      <c r="R25" s="108">
        <f t="shared" si="15"/>
        <v>0.18382958801498128</v>
      </c>
      <c r="S25" s="108">
        <f t="shared" si="15"/>
        <v>0.16789598927799709</v>
      </c>
      <c r="T25" s="108">
        <f t="shared" si="15"/>
        <v>0.14152635937068728</v>
      </c>
      <c r="U25" s="108">
        <f t="shared" si="15"/>
        <v>0.16239819197475588</v>
      </c>
      <c r="V25" s="108">
        <f t="shared" si="15"/>
        <v>0.14533004246549158</v>
      </c>
      <c r="W25" s="156">
        <f t="shared" si="15"/>
        <v>0.21221088087386969</v>
      </c>
      <c r="X25" s="109">
        <v>0.19</v>
      </c>
      <c r="Y25" s="109"/>
      <c r="Z25" s="109"/>
    </row>
    <row r="26" spans="2:28" x14ac:dyDescent="0.2">
      <c r="B26" s="1" t="str">
        <f t="shared" si="12"/>
        <v>Depreciation</v>
      </c>
      <c r="C26" s="108">
        <f t="shared" si="13"/>
        <v>7.0275238823259062E-2</v>
      </c>
      <c r="D26" s="108">
        <f t="shared" si="13"/>
        <v>6.403474422412872E-2</v>
      </c>
      <c r="E26" s="108">
        <f t="shared" si="13"/>
        <v>4.9351808453012777E-2</v>
      </c>
      <c r="F26" s="108">
        <f t="shared" si="13"/>
        <v>3.3784089582742795E-2</v>
      </c>
      <c r="G26" s="156">
        <f t="shared" si="13"/>
        <v>2.6991766387635223E-2</v>
      </c>
      <c r="H26" s="109">
        <v>2.4E-2</v>
      </c>
      <c r="I26" s="109">
        <v>2.5000000000000001E-2</v>
      </c>
      <c r="J26" s="109">
        <v>2.3E-2</v>
      </c>
      <c r="K26" s="109">
        <v>0.02</v>
      </c>
      <c r="L26" s="109">
        <v>1.7000000000000001E-2</v>
      </c>
      <c r="O26" s="1" t="str">
        <f t="shared" si="14"/>
        <v>Depreciation</v>
      </c>
      <c r="P26" s="108">
        <f t="shared" si="15"/>
        <v>3.4816285801792191E-2</v>
      </c>
      <c r="Q26" s="108">
        <f t="shared" si="15"/>
        <v>3.8397884737795623E-2</v>
      </c>
      <c r="R26" s="108">
        <f t="shared" si="15"/>
        <v>3.3389513108614231E-2</v>
      </c>
      <c r="S26" s="108">
        <f t="shared" si="15"/>
        <v>2.892023231006282E-2</v>
      </c>
      <c r="T26" s="108">
        <f t="shared" si="15"/>
        <v>2.5755589290643113E-2</v>
      </c>
      <c r="U26" s="108">
        <f t="shared" si="15"/>
        <v>2.7964692337213763E-2</v>
      </c>
      <c r="V26" s="108">
        <f t="shared" si="15"/>
        <v>2.6584561176069738E-2</v>
      </c>
      <c r="W26" s="156">
        <f t="shared" si="15"/>
        <v>2.7607482666624696E-2</v>
      </c>
      <c r="X26" s="109">
        <v>0.03</v>
      </c>
      <c r="Y26" s="109"/>
      <c r="Z26" s="109"/>
    </row>
    <row r="27" spans="2:28" x14ac:dyDescent="0.2">
      <c r="B27" s="1" t="str">
        <f t="shared" si="12"/>
        <v>Amortization</v>
      </c>
      <c r="C27" s="108">
        <f t="shared" si="13"/>
        <v>2.962487044688205E-2</v>
      </c>
      <c r="D27" s="108">
        <f t="shared" si="13"/>
        <v>2.6043928660425049E-2</v>
      </c>
      <c r="E27" s="108">
        <f t="shared" si="13"/>
        <v>3.3407334850785439E-2</v>
      </c>
      <c r="F27" s="108">
        <f t="shared" si="13"/>
        <v>3.2640723369690788E-2</v>
      </c>
      <c r="G27" s="156">
        <f t="shared" si="13"/>
        <v>3.8454735939707566E-2</v>
      </c>
      <c r="H27" s="109">
        <v>0.04</v>
      </c>
      <c r="I27" s="109">
        <v>3.7999999999999999E-2</v>
      </c>
      <c r="J27" s="109">
        <v>3.2000000000000001E-2</v>
      </c>
      <c r="K27" s="109">
        <v>2.5999999999999999E-2</v>
      </c>
      <c r="L27" s="109">
        <v>2.1999999999999999E-2</v>
      </c>
      <c r="O27" s="1" t="str">
        <f t="shared" si="14"/>
        <v>Amortization</v>
      </c>
      <c r="P27" s="108">
        <f t="shared" si="15"/>
        <v>3.1111374571465268E-2</v>
      </c>
      <c r="Q27" s="108">
        <f t="shared" si="15"/>
        <v>3.3119522107427898E-2</v>
      </c>
      <c r="R27" s="108">
        <f t="shared" si="15"/>
        <v>3.2968164794007493E-2</v>
      </c>
      <c r="S27" s="108">
        <f t="shared" si="15"/>
        <v>3.3287442674665622E-2</v>
      </c>
      <c r="T27" s="108">
        <f t="shared" si="15"/>
        <v>3.3570245652773945E-2</v>
      </c>
      <c r="U27" s="108">
        <f t="shared" si="15"/>
        <v>3.5222378576606539E-2</v>
      </c>
      <c r="V27" s="108">
        <f t="shared" si="15"/>
        <v>3.5559655289903853E-2</v>
      </c>
      <c r="W27" s="156">
        <f t="shared" si="15"/>
        <v>4.8635759087725376E-2</v>
      </c>
      <c r="X27" s="109">
        <v>0.05</v>
      </c>
      <c r="Y27" s="109"/>
      <c r="Z27" s="109"/>
    </row>
  </sheetData>
  <mergeCells count="10">
    <mergeCell ref="C9:L9"/>
    <mergeCell ref="P9:Z9"/>
    <mergeCell ref="C20:L20"/>
    <mergeCell ref="P20:Z20"/>
    <mergeCell ref="C2:G2"/>
    <mergeCell ref="H2:L2"/>
    <mergeCell ref="P2:W2"/>
    <mergeCell ref="X2:Z2"/>
    <mergeCell ref="C4:L4"/>
    <mergeCell ref="P4:Z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31D99-ADC4-C643-8404-10683D348D99}">
  <dimension ref="A1:AB46"/>
  <sheetViews>
    <sheetView topLeftCell="A23" zoomScale="189" zoomScaleNormal="100" workbookViewId="0">
      <selection activeCell="H46" sqref="H46"/>
    </sheetView>
  </sheetViews>
  <sheetFormatPr baseColWidth="10" defaultRowHeight="16" x14ac:dyDescent="0.2"/>
  <cols>
    <col min="1" max="1" width="2" style="14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143" customFormat="1" ht="18" customHeight="1" x14ac:dyDescent="0.2">
      <c r="A1" s="141"/>
      <c r="B1" s="142" t="s">
        <v>284</v>
      </c>
    </row>
    <row r="2" spans="1:28" s="143" customFormat="1" ht="18" customHeight="1" x14ac:dyDescent="0.2">
      <c r="A2" s="141"/>
      <c r="B2" s="142"/>
    </row>
    <row r="3" spans="1:28" x14ac:dyDescent="0.2">
      <c r="A3" s="141"/>
      <c r="C3" s="233" t="s">
        <v>112</v>
      </c>
      <c r="D3" s="233"/>
      <c r="E3" s="233"/>
      <c r="F3" s="233"/>
      <c r="G3" s="234"/>
      <c r="H3" s="235" t="s">
        <v>113</v>
      </c>
      <c r="I3" s="233"/>
      <c r="J3" s="233"/>
      <c r="K3" s="233"/>
      <c r="L3" s="233"/>
      <c r="P3" s="239"/>
      <c r="Q3" s="239"/>
      <c r="R3" s="239"/>
      <c r="S3" s="239"/>
      <c r="T3" s="239"/>
      <c r="U3" s="239"/>
      <c r="V3" s="239"/>
      <c r="W3" s="239"/>
      <c r="X3" s="239"/>
      <c r="Y3" s="239"/>
      <c r="Z3" s="239"/>
      <c r="AB3" s="174"/>
    </row>
    <row r="4" spans="1:28" ht="10" customHeight="1" x14ac:dyDescent="0.2"/>
    <row r="5" spans="1:28" ht="16" customHeight="1" x14ac:dyDescent="0.2">
      <c r="A5" s="146"/>
      <c r="B5" s="93"/>
      <c r="C5" s="230" t="s">
        <v>188</v>
      </c>
      <c r="D5" s="230"/>
      <c r="E5" s="230"/>
      <c r="F5" s="230"/>
      <c r="G5" s="230"/>
      <c r="H5" s="230"/>
      <c r="I5" s="230"/>
      <c r="J5" s="230"/>
      <c r="K5" s="230"/>
      <c r="L5" s="230"/>
      <c r="P5" s="239"/>
      <c r="Q5" s="239"/>
      <c r="R5" s="239"/>
      <c r="S5" s="239"/>
      <c r="T5" s="239"/>
      <c r="U5" s="239"/>
      <c r="V5" s="239"/>
      <c r="W5" s="239"/>
      <c r="X5" s="239"/>
      <c r="Y5" s="239"/>
      <c r="Z5" s="239"/>
      <c r="AB5" s="175"/>
    </row>
    <row r="6" spans="1:28" x14ac:dyDescent="0.2">
      <c r="B6" s="7" t="s">
        <v>268</v>
      </c>
      <c r="C6" s="64">
        <f>Revenue!C5</f>
        <v>2022</v>
      </c>
      <c r="D6" s="64">
        <f>Revenue!D5</f>
        <v>2023</v>
      </c>
      <c r="E6" s="64">
        <f>Revenue!E5</f>
        <v>2024</v>
      </c>
      <c r="F6" s="64">
        <f>Revenue!F5</f>
        <v>2025</v>
      </c>
      <c r="G6" s="64">
        <f>Revenue!G5</f>
        <v>2026</v>
      </c>
      <c r="H6" s="64">
        <f>Revenue!H5</f>
        <v>2027</v>
      </c>
      <c r="I6" s="64">
        <f>Revenue!I5</f>
        <v>2028</v>
      </c>
      <c r="J6" s="64">
        <f>Revenue!J5</f>
        <v>2029</v>
      </c>
      <c r="K6" s="64">
        <f>Revenue!K5</f>
        <v>2030</v>
      </c>
      <c r="L6" s="64">
        <f>Revenue!L5</f>
        <v>2031</v>
      </c>
      <c r="O6" s="7"/>
      <c r="P6" s="176"/>
      <c r="Q6" s="176"/>
      <c r="R6" s="176"/>
      <c r="S6" s="176"/>
      <c r="T6" s="176"/>
      <c r="U6" s="176"/>
      <c r="V6" s="176"/>
      <c r="W6" s="176"/>
      <c r="X6" s="176"/>
      <c r="Y6" s="176"/>
      <c r="Z6" s="176"/>
      <c r="AB6" s="175"/>
    </row>
    <row r="7" spans="1:28" x14ac:dyDescent="0.2">
      <c r="B7" s="7" t="s">
        <v>6</v>
      </c>
      <c r="C7" s="152">
        <f>Revenue!C9</f>
        <v>213233</v>
      </c>
      <c r="D7" s="152">
        <f>Revenue!D9</f>
        <v>280910</v>
      </c>
      <c r="E7" s="152">
        <f>Revenue!E9</f>
        <v>356299</v>
      </c>
      <c r="F7" s="152">
        <f>Revenue!F9</f>
        <v>419813</v>
      </c>
      <c r="G7" s="153">
        <f>Revenue!G9</f>
        <v>480591</v>
      </c>
      <c r="H7" s="152">
        <f>Revenue!H9</f>
        <v>512003.95319162495</v>
      </c>
      <c r="I7" s="152">
        <f>Revenue!I9</f>
        <v>544078.91490638629</v>
      </c>
      <c r="J7" s="152">
        <f>Revenue!J9</f>
        <v>591204.36583610985</v>
      </c>
      <c r="K7" s="152">
        <f>Revenue!K9</f>
        <v>670128.09104058379</v>
      </c>
      <c r="L7" s="152">
        <f>Revenue!L9</f>
        <v>786430.37228098325</v>
      </c>
      <c r="N7" s="92"/>
      <c r="O7" s="7"/>
      <c r="P7" s="152"/>
      <c r="Q7" s="152"/>
      <c r="R7" s="152"/>
      <c r="S7" s="152"/>
      <c r="T7" s="152"/>
      <c r="U7" s="152"/>
      <c r="V7" s="152"/>
      <c r="W7" s="152"/>
      <c r="X7" s="154"/>
      <c r="Y7" s="154"/>
      <c r="Z7" s="154"/>
      <c r="AB7" s="154"/>
    </row>
    <row r="8" spans="1:28" x14ac:dyDescent="0.2">
      <c r="B8" s="8" t="s">
        <v>7</v>
      </c>
      <c r="C8" s="177">
        <f>'COGS &amp; OpEx'!C11</f>
        <v>81388</v>
      </c>
      <c r="D8" s="177">
        <f>'COGS &amp; OpEx'!D11</f>
        <v>109267</v>
      </c>
      <c r="E8" s="177">
        <f>'COGS &amp; OpEx'!E11</f>
        <v>124011</v>
      </c>
      <c r="F8" s="177">
        <f>'COGS &amp; OpEx'!F11</f>
        <v>134934</v>
      </c>
      <c r="G8" s="178">
        <f>'COGS &amp; OpEx'!G11</f>
        <v>154123</v>
      </c>
      <c r="H8" s="177">
        <f>'COGS &amp; OpEx'!H11</f>
        <v>158721.22548940373</v>
      </c>
      <c r="I8" s="177">
        <f>'COGS &amp; OpEx'!I11</f>
        <v>157782.885322852</v>
      </c>
      <c r="J8" s="177">
        <f>'COGS &amp; OpEx'!J11</f>
        <v>165537.22243411076</v>
      </c>
      <c r="K8" s="177">
        <f>'COGS &amp; OpEx'!K11</f>
        <v>187635.86549136348</v>
      </c>
      <c r="L8" s="177">
        <f>'COGS &amp; OpEx'!L11</f>
        <v>228064.80796148512</v>
      </c>
      <c r="N8" s="92"/>
      <c r="O8" s="7"/>
      <c r="P8" s="152"/>
      <c r="Q8" s="152"/>
      <c r="R8" s="152"/>
      <c r="S8" s="152"/>
      <c r="T8" s="152"/>
      <c r="U8" s="152"/>
      <c r="V8" s="152"/>
      <c r="W8" s="152"/>
      <c r="X8" s="154"/>
      <c r="Y8" s="154"/>
      <c r="Z8" s="154"/>
      <c r="AB8" s="154"/>
    </row>
    <row r="9" spans="1:28" x14ac:dyDescent="0.2">
      <c r="N9" s="92"/>
    </row>
    <row r="10" spans="1:28" x14ac:dyDescent="0.2">
      <c r="N10" s="92"/>
    </row>
    <row r="11" spans="1:28" x14ac:dyDescent="0.2">
      <c r="C11" s="230" t="s">
        <v>285</v>
      </c>
      <c r="D11" s="230"/>
      <c r="E11" s="230"/>
      <c r="F11" s="230"/>
      <c r="G11" s="230"/>
      <c r="H11" s="230"/>
      <c r="I11" s="230"/>
      <c r="J11" s="230"/>
      <c r="K11" s="230"/>
      <c r="L11" s="230"/>
      <c r="N11" s="92"/>
      <c r="P11" s="239"/>
      <c r="Q11" s="239"/>
      <c r="R11" s="239"/>
      <c r="S11" s="239"/>
      <c r="T11" s="239"/>
      <c r="U11" s="239"/>
      <c r="V11" s="239"/>
      <c r="W11" s="239"/>
      <c r="X11" s="239"/>
      <c r="Y11" s="239"/>
      <c r="Z11" s="239"/>
      <c r="AB11" s="175"/>
    </row>
    <row r="12" spans="1:28" x14ac:dyDescent="0.2">
      <c r="B12" s="7" t="s">
        <v>286</v>
      </c>
      <c r="C12" s="64">
        <f t="shared" ref="C12:L12" si="0">C6</f>
        <v>2022</v>
      </c>
      <c r="D12" s="64">
        <f t="shared" si="0"/>
        <v>2023</v>
      </c>
      <c r="E12" s="64">
        <f t="shared" si="0"/>
        <v>2024</v>
      </c>
      <c r="F12" s="64">
        <f t="shared" si="0"/>
        <v>2025</v>
      </c>
      <c r="G12" s="64">
        <f t="shared" si="0"/>
        <v>2026</v>
      </c>
      <c r="H12" s="64">
        <f t="shared" si="0"/>
        <v>2027</v>
      </c>
      <c r="I12" s="64">
        <f t="shared" si="0"/>
        <v>2028</v>
      </c>
      <c r="J12" s="64">
        <f t="shared" si="0"/>
        <v>2029</v>
      </c>
      <c r="K12" s="64">
        <f t="shared" si="0"/>
        <v>2030</v>
      </c>
      <c r="L12" s="64">
        <f t="shared" si="0"/>
        <v>2031</v>
      </c>
      <c r="N12" s="92"/>
      <c r="O12" s="7"/>
      <c r="P12" s="176"/>
      <c r="Q12" s="176"/>
      <c r="R12" s="176"/>
      <c r="S12" s="176"/>
      <c r="T12" s="176"/>
      <c r="U12" s="176"/>
      <c r="V12" s="176"/>
      <c r="W12" s="176"/>
      <c r="X12" s="176"/>
      <c r="Y12" s="176"/>
      <c r="Z12" s="176"/>
      <c r="AB12" s="175"/>
    </row>
    <row r="13" spans="1:28" x14ac:dyDescent="0.2">
      <c r="B13" s="8" t="s">
        <v>287</v>
      </c>
      <c r="C13" s="179">
        <f>Statements!D28</f>
        <v>40262</v>
      </c>
      <c r="D13" s="179">
        <f>Statements!E28</f>
        <v>51394</v>
      </c>
      <c r="E13" s="179">
        <f>Statements!F28</f>
        <v>64863</v>
      </c>
      <c r="F13" s="179">
        <f>Statements!G28</f>
        <v>73617</v>
      </c>
      <c r="G13" s="180">
        <f>Statements!H28</f>
        <v>97453</v>
      </c>
      <c r="H13" s="34">
        <f>H20*H7/365</f>
        <v>98192.538968256849</v>
      </c>
      <c r="I13" s="34">
        <f>I20*I7/365</f>
        <v>104343.90148889599</v>
      </c>
      <c r="J13" s="34">
        <f>J20*J7/365</f>
        <v>113381.65920144573</v>
      </c>
      <c r="K13" s="34">
        <f>K20*K7/365</f>
        <v>128517.71608997497</v>
      </c>
      <c r="L13" s="34">
        <f>L20*L7/365</f>
        <v>150822.26317717487</v>
      </c>
      <c r="N13" s="92"/>
      <c r="O13" s="7"/>
      <c r="P13" s="181"/>
      <c r="Q13" s="181"/>
      <c r="R13" s="181"/>
      <c r="S13" s="181"/>
      <c r="T13" s="181"/>
      <c r="U13" s="181"/>
      <c r="V13" s="181"/>
      <c r="W13" s="181"/>
      <c r="X13" s="21"/>
      <c r="Y13" s="21"/>
      <c r="Z13" s="21"/>
      <c r="AB13" s="20"/>
    </row>
    <row r="14" spans="1:28" x14ac:dyDescent="0.2">
      <c r="B14" s="8" t="s">
        <v>288</v>
      </c>
      <c r="C14" s="179">
        <v>0</v>
      </c>
      <c r="D14" s="179">
        <v>0</v>
      </c>
      <c r="E14" s="179">
        <v>0</v>
      </c>
      <c r="F14" s="179">
        <v>0</v>
      </c>
      <c r="G14" s="180">
        <v>0</v>
      </c>
      <c r="H14" s="34">
        <f>H21*H8/365</f>
        <v>0</v>
      </c>
      <c r="I14" s="34">
        <f t="shared" ref="I14:L14" si="1">I21*I8/365</f>
        <v>0</v>
      </c>
      <c r="J14" s="34">
        <f t="shared" si="1"/>
        <v>0</v>
      </c>
      <c r="K14" s="34">
        <f t="shared" si="1"/>
        <v>0</v>
      </c>
      <c r="L14" s="34">
        <f t="shared" si="1"/>
        <v>0</v>
      </c>
      <c r="N14" s="92"/>
      <c r="O14" s="7"/>
      <c r="P14" s="181"/>
      <c r="Q14" s="181"/>
      <c r="R14" s="181"/>
      <c r="S14" s="181"/>
      <c r="T14" s="181"/>
      <c r="U14" s="181"/>
      <c r="V14" s="181"/>
      <c r="W14" s="181"/>
      <c r="X14" s="21"/>
      <c r="Y14" s="21"/>
      <c r="Z14" s="21"/>
      <c r="AB14" s="20"/>
    </row>
    <row r="15" spans="1:28" x14ac:dyDescent="0.2">
      <c r="B15" s="1" t="s">
        <v>289</v>
      </c>
      <c r="C15" s="179">
        <f>Statements!D50</f>
        <v>5119</v>
      </c>
      <c r="D15" s="179">
        <f>Statements!E50</f>
        <v>10836</v>
      </c>
      <c r="E15" s="179">
        <f>Statements!F50</f>
        <v>8480</v>
      </c>
      <c r="F15" s="179">
        <f>Statements!G50</f>
        <v>5622</v>
      </c>
      <c r="G15" s="180">
        <f>Statements!H50</f>
        <v>11477</v>
      </c>
      <c r="H15" s="20">
        <f>H22*H8/365</f>
        <v>11306.169486916429</v>
      </c>
      <c r="I15" s="20">
        <f>I22*I8/365</f>
        <v>11239.328817518224</v>
      </c>
      <c r="J15" s="20">
        <f>J22*J8/365</f>
        <v>11791.692556950355</v>
      </c>
      <c r="K15" s="20">
        <f>K22*K8/365</f>
        <v>13365.842473357397</v>
      </c>
      <c r="L15" s="20">
        <f>L22*L8/365</f>
        <v>16245.712347941408</v>
      </c>
      <c r="N15" s="92"/>
      <c r="P15" s="182"/>
      <c r="Q15" s="182"/>
      <c r="R15" s="182"/>
      <c r="S15" s="182"/>
      <c r="T15" s="182"/>
      <c r="U15" s="182"/>
      <c r="V15" s="182"/>
      <c r="W15" s="182"/>
      <c r="X15" s="34"/>
      <c r="Y15" s="20"/>
      <c r="Z15" s="20"/>
      <c r="AB15" s="20"/>
    </row>
    <row r="16" spans="1:28" x14ac:dyDescent="0.2">
      <c r="D16" s="20"/>
    </row>
    <row r="18" spans="2:12" x14ac:dyDescent="0.2">
      <c r="C18" s="230" t="s">
        <v>290</v>
      </c>
      <c r="D18" s="230"/>
      <c r="E18" s="230"/>
      <c r="F18" s="230"/>
      <c r="G18" s="230"/>
      <c r="H18" s="230"/>
      <c r="I18" s="230"/>
      <c r="J18" s="230"/>
      <c r="K18" s="230"/>
      <c r="L18" s="230"/>
    </row>
    <row r="19" spans="2:12" x14ac:dyDescent="0.2">
      <c r="B19" s="7" t="s">
        <v>291</v>
      </c>
      <c r="C19" s="64">
        <f t="shared" ref="C19:L19" si="2">C6</f>
        <v>2022</v>
      </c>
      <c r="D19" s="64">
        <f t="shared" si="2"/>
        <v>2023</v>
      </c>
      <c r="E19" s="64">
        <f t="shared" si="2"/>
        <v>2024</v>
      </c>
      <c r="F19" s="64">
        <f t="shared" si="2"/>
        <v>2025</v>
      </c>
      <c r="G19" s="64">
        <f t="shared" si="2"/>
        <v>2026</v>
      </c>
      <c r="H19" s="64">
        <f t="shared" si="2"/>
        <v>2027</v>
      </c>
      <c r="I19" s="64">
        <f t="shared" si="2"/>
        <v>2028</v>
      </c>
      <c r="J19" s="64">
        <f t="shared" si="2"/>
        <v>2029</v>
      </c>
      <c r="K19" s="64">
        <f t="shared" si="2"/>
        <v>2030</v>
      </c>
      <c r="L19" s="64">
        <f t="shared" si="2"/>
        <v>2031</v>
      </c>
    </row>
    <row r="20" spans="2:12" x14ac:dyDescent="0.2">
      <c r="B20" s="1" t="s">
        <v>292</v>
      </c>
      <c r="C20" s="183">
        <f>C13/C7*365</f>
        <v>68.918178705922628</v>
      </c>
      <c r="D20" s="183">
        <f>D13/D7*365</f>
        <v>66.778719162721146</v>
      </c>
      <c r="E20" s="183">
        <f>E13/E7*365</f>
        <v>66.446986940743585</v>
      </c>
      <c r="F20" s="183">
        <f>F13/F7*365</f>
        <v>64.005176114127011</v>
      </c>
      <c r="G20" s="184">
        <f>G13/G7*365</f>
        <v>74.013755979616761</v>
      </c>
      <c r="H20" s="185">
        <v>70</v>
      </c>
      <c r="I20" s="185">
        <v>70</v>
      </c>
      <c r="J20" s="185">
        <v>70</v>
      </c>
      <c r="K20" s="185">
        <v>70</v>
      </c>
      <c r="L20" s="185">
        <v>70</v>
      </c>
    </row>
    <row r="21" spans="2:12" x14ac:dyDescent="0.2">
      <c r="B21" s="1" t="s">
        <v>293</v>
      </c>
      <c r="C21" s="183">
        <f>C14/C8*365</f>
        <v>0</v>
      </c>
      <c r="D21" s="183">
        <f t="shared" ref="D21:G21" si="3">D14/D8*365</f>
        <v>0</v>
      </c>
      <c r="E21" s="183">
        <f t="shared" si="3"/>
        <v>0</v>
      </c>
      <c r="F21" s="183">
        <f t="shared" si="3"/>
        <v>0</v>
      </c>
      <c r="G21" s="184">
        <f t="shared" si="3"/>
        <v>0</v>
      </c>
      <c r="H21" s="185">
        <v>0</v>
      </c>
      <c r="I21" s="185">
        <v>0</v>
      </c>
      <c r="J21" s="185">
        <v>0</v>
      </c>
      <c r="K21" s="185">
        <v>0</v>
      </c>
      <c r="L21" s="185">
        <v>0</v>
      </c>
    </row>
    <row r="22" spans="2:12" x14ac:dyDescent="0.2">
      <c r="B22" s="1" t="s">
        <v>294</v>
      </c>
      <c r="C22" s="183">
        <f>C15/C8*365</f>
        <v>22.957131272423453</v>
      </c>
      <c r="D22" s="183">
        <f>D15/D8*365</f>
        <v>36.197021973697453</v>
      </c>
      <c r="E22" s="183">
        <f>E15/E8*365</f>
        <v>24.959076210981287</v>
      </c>
      <c r="F22" s="183">
        <f>F15/F8*365</f>
        <v>15.207657076793097</v>
      </c>
      <c r="G22" s="184">
        <f>G15/G8*365</f>
        <v>27.180271601253548</v>
      </c>
      <c r="H22" s="185">
        <v>26</v>
      </c>
      <c r="I22" s="185">
        <v>26</v>
      </c>
      <c r="J22" s="185">
        <v>26</v>
      </c>
      <c r="K22" s="185">
        <v>26</v>
      </c>
      <c r="L22" s="185">
        <v>26</v>
      </c>
    </row>
    <row r="23" spans="2:12" x14ac:dyDescent="0.2">
      <c r="B23" s="1" t="s">
        <v>295</v>
      </c>
      <c r="C23" s="183">
        <f>C20+C21-C22</f>
        <v>45.961047433499175</v>
      </c>
      <c r="D23" s="183">
        <f t="shared" ref="D23:L23" si="4">D20+D21-D22</f>
        <v>30.581697189023693</v>
      </c>
      <c r="E23" s="183">
        <f t="shared" si="4"/>
        <v>41.487910729762298</v>
      </c>
      <c r="F23" s="183">
        <f t="shared" si="4"/>
        <v>48.797519037333913</v>
      </c>
      <c r="G23" s="184">
        <f t="shared" si="4"/>
        <v>46.83348437836321</v>
      </c>
      <c r="H23" s="183">
        <f t="shared" si="4"/>
        <v>44</v>
      </c>
      <c r="I23" s="183">
        <f t="shared" si="4"/>
        <v>44</v>
      </c>
      <c r="J23" s="183">
        <f t="shared" si="4"/>
        <v>44</v>
      </c>
      <c r="K23" s="183">
        <f t="shared" si="4"/>
        <v>44</v>
      </c>
      <c r="L23" s="183">
        <f t="shared" si="4"/>
        <v>44</v>
      </c>
    </row>
    <row r="25" spans="2:12" x14ac:dyDescent="0.2">
      <c r="B25" s="239"/>
      <c r="C25" s="239"/>
    </row>
    <row r="26" spans="2:12" x14ac:dyDescent="0.2">
      <c r="B26" s="174"/>
      <c r="C26" s="230" t="s">
        <v>296</v>
      </c>
      <c r="D26" s="230"/>
      <c r="E26" s="230"/>
      <c r="F26" s="230"/>
      <c r="G26" s="230"/>
      <c r="H26" s="230"/>
      <c r="I26" s="230"/>
      <c r="J26" s="230"/>
      <c r="K26" s="230"/>
      <c r="L26" s="230"/>
    </row>
    <row r="27" spans="2:12" x14ac:dyDescent="0.2">
      <c r="B27" s="7" t="s">
        <v>286</v>
      </c>
      <c r="C27" s="64">
        <f t="shared" ref="C27:L27" si="5">C6</f>
        <v>2022</v>
      </c>
      <c r="D27" s="64">
        <f t="shared" si="5"/>
        <v>2023</v>
      </c>
      <c r="E27" s="64">
        <f t="shared" si="5"/>
        <v>2024</v>
      </c>
      <c r="F27" s="64">
        <f t="shared" si="5"/>
        <v>2025</v>
      </c>
      <c r="G27" s="64">
        <f t="shared" si="5"/>
        <v>2026</v>
      </c>
      <c r="H27" s="64">
        <f t="shared" si="5"/>
        <v>2027</v>
      </c>
      <c r="I27" s="64">
        <f t="shared" si="5"/>
        <v>2028</v>
      </c>
      <c r="J27" s="64">
        <f t="shared" si="5"/>
        <v>2029</v>
      </c>
      <c r="K27" s="64">
        <f t="shared" si="5"/>
        <v>2030</v>
      </c>
      <c r="L27" s="64">
        <f t="shared" si="5"/>
        <v>2031</v>
      </c>
    </row>
    <row r="28" spans="2:12" x14ac:dyDescent="0.2">
      <c r="B28" s="1" t="s">
        <v>201</v>
      </c>
      <c r="C28" s="179">
        <f>'Statement Y'!D88</f>
        <v>-10216</v>
      </c>
      <c r="D28" s="179">
        <f>'Statement Y'!E88</f>
        <v>-11132</v>
      </c>
      <c r="E28" s="179">
        <f>'Statement Y'!F88</f>
        <v>-11205</v>
      </c>
      <c r="F28" s="179">
        <f>'Statement Y'!G88</f>
        <v>-8812</v>
      </c>
      <c r="G28" s="180">
        <f>'Statement Y'!H88</f>
        <v>-23397</v>
      </c>
      <c r="H28" s="34">
        <f>-(H13-G13)</f>
        <v>-739.53896825684933</v>
      </c>
      <c r="I28" s="34">
        <f t="shared" ref="I28:L29" si="6">-(I13-H13)</f>
        <v>-6151.3625206391443</v>
      </c>
      <c r="J28" s="34">
        <f t="shared" si="6"/>
        <v>-9037.7577125497337</v>
      </c>
      <c r="K28" s="34">
        <f t="shared" si="6"/>
        <v>-15136.056888529245</v>
      </c>
      <c r="L28" s="34">
        <f t="shared" si="6"/>
        <v>-22304.547087199899</v>
      </c>
    </row>
    <row r="29" spans="2:12" x14ac:dyDescent="0.2">
      <c r="B29" s="1" t="s">
        <v>297</v>
      </c>
      <c r="C29" s="179">
        <v>0</v>
      </c>
      <c r="D29" s="179">
        <v>0</v>
      </c>
      <c r="E29" s="179">
        <v>0</v>
      </c>
      <c r="F29" s="179">
        <v>0</v>
      </c>
      <c r="G29" s="180">
        <v>0</v>
      </c>
      <c r="H29" s="34">
        <f>-(H14-G14)</f>
        <v>0</v>
      </c>
      <c r="I29" s="34">
        <f t="shared" si="6"/>
        <v>0</v>
      </c>
      <c r="J29" s="34">
        <f t="shared" si="6"/>
        <v>0</v>
      </c>
      <c r="K29" s="34">
        <f t="shared" si="6"/>
        <v>0</v>
      </c>
      <c r="L29" s="34">
        <f t="shared" si="6"/>
        <v>0</v>
      </c>
    </row>
    <row r="30" spans="2:12" x14ac:dyDescent="0.2">
      <c r="B30" s="1" t="s">
        <v>202</v>
      </c>
      <c r="C30" s="179">
        <f>'Statement Y'!D93</f>
        <v>2881</v>
      </c>
      <c r="D30" s="179">
        <f>'Statement Y'!E93</f>
        <v>4774</v>
      </c>
      <c r="E30" s="179">
        <f>'Statement Y'!F93</f>
        <v>-1993</v>
      </c>
      <c r="F30" s="179">
        <f>'Statement Y'!G93</f>
        <v>-3234</v>
      </c>
      <c r="G30" s="180">
        <f>'Statement Y'!H93</f>
        <v>5261</v>
      </c>
      <c r="H30" s="20">
        <f>H15-G15</f>
        <v>-170.83051308357062</v>
      </c>
      <c r="I30" s="20">
        <f t="shared" ref="I30:L30" si="7">I15-H15</f>
        <v>-66.840669398205137</v>
      </c>
      <c r="J30" s="20">
        <f t="shared" si="7"/>
        <v>552.36373943213039</v>
      </c>
      <c r="K30" s="20">
        <f t="shared" si="7"/>
        <v>1574.1499164070428</v>
      </c>
      <c r="L30" s="20">
        <f t="shared" si="7"/>
        <v>2879.8698745840102</v>
      </c>
    </row>
    <row r="31" spans="2:12" x14ac:dyDescent="0.2">
      <c r="B31" s="174"/>
      <c r="C31" s="174"/>
    </row>
    <row r="32" spans="2:12" x14ac:dyDescent="0.2">
      <c r="B32" s="174"/>
      <c r="C32" s="174"/>
    </row>
    <row r="33" spans="2:12" x14ac:dyDescent="0.2">
      <c r="B33" s="174"/>
      <c r="C33" s="230" t="s">
        <v>298</v>
      </c>
      <c r="D33" s="230"/>
      <c r="E33" s="230"/>
      <c r="F33" s="230"/>
      <c r="G33" s="230"/>
      <c r="H33" s="230"/>
      <c r="I33" s="230"/>
      <c r="J33" s="230"/>
      <c r="K33" s="230"/>
      <c r="L33" s="230"/>
    </row>
    <row r="34" spans="2:12" x14ac:dyDescent="0.2">
      <c r="B34" s="7" t="s">
        <v>286</v>
      </c>
      <c r="C34" s="64">
        <f t="shared" ref="C34:L34" si="8">C6</f>
        <v>2022</v>
      </c>
      <c r="D34" s="64">
        <f t="shared" si="8"/>
        <v>2023</v>
      </c>
      <c r="E34" s="64">
        <f t="shared" si="8"/>
        <v>2024</v>
      </c>
      <c r="F34" s="64">
        <f t="shared" si="8"/>
        <v>2025</v>
      </c>
      <c r="G34" s="64">
        <f t="shared" si="8"/>
        <v>2026</v>
      </c>
      <c r="H34" s="64">
        <f t="shared" si="8"/>
        <v>2027</v>
      </c>
      <c r="I34" s="64">
        <f t="shared" si="8"/>
        <v>2028</v>
      </c>
      <c r="J34" s="64">
        <f t="shared" si="8"/>
        <v>2029</v>
      </c>
      <c r="K34" s="64">
        <f t="shared" si="8"/>
        <v>2030</v>
      </c>
      <c r="L34" s="64">
        <f t="shared" si="8"/>
        <v>2031</v>
      </c>
    </row>
    <row r="35" spans="2:12" x14ac:dyDescent="0.2">
      <c r="B35" s="1" t="s">
        <v>299</v>
      </c>
      <c r="C35" s="179">
        <f>Statements!D84</f>
        <v>-18571</v>
      </c>
      <c r="D35" s="179">
        <f>Statements!E84</f>
        <v>-3862</v>
      </c>
      <c r="E35" s="179">
        <f>Statements!F84</f>
        <v>-1637</v>
      </c>
      <c r="F35" s="179">
        <f>Statements!G84</f>
        <v>-6493</v>
      </c>
      <c r="G35" s="180">
        <f>Statements!H84</f>
        <v>-14090</v>
      </c>
      <c r="H35" s="34">
        <f>H36+H28+H29+H30</f>
        <v>6769.6898165339544</v>
      </c>
      <c r="I35" s="34">
        <f t="shared" ref="I35:L35" si="9">I36+I28+I29+I30</f>
        <v>1942.9805335584442</v>
      </c>
      <c r="J35" s="34">
        <f t="shared" si="9"/>
        <v>382.67151442404429</v>
      </c>
      <c r="K35" s="34">
        <f t="shared" si="9"/>
        <v>-3509.9856065134463</v>
      </c>
      <c r="L35" s="34">
        <f t="shared" si="9"/>
        <v>-7628.2216284011392</v>
      </c>
    </row>
    <row r="36" spans="2:12" x14ac:dyDescent="0.2">
      <c r="B36" s="1" t="s">
        <v>300</v>
      </c>
      <c r="C36" s="186">
        <f>C35-C28-C29-C30</f>
        <v>-11236</v>
      </c>
      <c r="D36" s="186">
        <f t="shared" ref="D36:G36" si="10">D35-D28-D29-D30</f>
        <v>2496</v>
      </c>
      <c r="E36" s="186">
        <f t="shared" si="10"/>
        <v>11561</v>
      </c>
      <c r="F36" s="186">
        <f t="shared" si="10"/>
        <v>5553</v>
      </c>
      <c r="G36" s="187">
        <f t="shared" si="10"/>
        <v>4046</v>
      </c>
      <c r="H36" s="20">
        <f>H7*H37</f>
        <v>7680.0592978743744</v>
      </c>
      <c r="I36" s="20">
        <f>I7*I37</f>
        <v>8161.1837235957937</v>
      </c>
      <c r="J36" s="20">
        <f>J7*J37</f>
        <v>8868.0654875416476</v>
      </c>
      <c r="K36" s="20">
        <f>K7*K37</f>
        <v>10051.921365608756</v>
      </c>
      <c r="L36" s="20">
        <f>L7*L37</f>
        <v>11796.455584214749</v>
      </c>
    </row>
    <row r="37" spans="2:12" x14ac:dyDescent="0.2">
      <c r="B37" s="106" t="s">
        <v>114</v>
      </c>
      <c r="C37" s="188">
        <f>C36/C7</f>
        <v>-5.2693532426969558E-2</v>
      </c>
      <c r="D37" s="188">
        <f>D36/D7</f>
        <v>8.8854081378377421E-3</v>
      </c>
      <c r="E37" s="188">
        <f>E36/E7</f>
        <v>3.2447466874731615E-2</v>
      </c>
      <c r="F37" s="188">
        <f>F36/F7</f>
        <v>1.3227317877245345E-2</v>
      </c>
      <c r="G37" s="189">
        <f>G36/G7</f>
        <v>8.4188010179133601E-3</v>
      </c>
      <c r="H37" s="109">
        <v>1.4999999999999999E-2</v>
      </c>
      <c r="I37" s="109">
        <v>1.4999999999999999E-2</v>
      </c>
      <c r="J37" s="109">
        <v>1.4999999999999999E-2</v>
      </c>
      <c r="K37" s="109">
        <v>1.4999999999999999E-2</v>
      </c>
      <c r="L37" s="109">
        <v>1.4999999999999999E-2</v>
      </c>
    </row>
    <row r="38" spans="2:12" x14ac:dyDescent="0.2">
      <c r="C38" s="150"/>
    </row>
    <row r="39" spans="2:12" x14ac:dyDescent="0.2">
      <c r="C39" s="190"/>
    </row>
    <row r="40" spans="2:12" x14ac:dyDescent="0.2">
      <c r="C40" s="230" t="s">
        <v>301</v>
      </c>
      <c r="D40" s="230"/>
      <c r="E40" s="230"/>
      <c r="F40" s="230"/>
      <c r="G40" s="230"/>
      <c r="H40" s="230"/>
      <c r="I40" s="230"/>
      <c r="J40" s="230"/>
      <c r="K40" s="230"/>
      <c r="L40" s="230"/>
    </row>
    <row r="41" spans="2:12" x14ac:dyDescent="0.2">
      <c r="B41" s="7" t="s">
        <v>286</v>
      </c>
      <c r="C41" s="64">
        <f t="shared" ref="C41:L41" si="11">C6</f>
        <v>2022</v>
      </c>
      <c r="D41" s="64">
        <f t="shared" si="11"/>
        <v>2023</v>
      </c>
      <c r="E41" s="64">
        <f t="shared" si="11"/>
        <v>2024</v>
      </c>
      <c r="F41" s="64">
        <f t="shared" si="11"/>
        <v>2025</v>
      </c>
      <c r="G41" s="64">
        <f t="shared" si="11"/>
        <v>2026</v>
      </c>
      <c r="H41" s="64">
        <f t="shared" si="11"/>
        <v>2027</v>
      </c>
      <c r="I41" s="64">
        <f t="shared" si="11"/>
        <v>2028</v>
      </c>
      <c r="J41" s="64">
        <f t="shared" si="11"/>
        <v>2029</v>
      </c>
      <c r="K41" s="64">
        <f t="shared" si="11"/>
        <v>2030</v>
      </c>
      <c r="L41" s="64">
        <f t="shared" si="11"/>
        <v>2031</v>
      </c>
    </row>
    <row r="42" spans="2:12" x14ac:dyDescent="0.2">
      <c r="B42" s="1" t="s">
        <v>38</v>
      </c>
      <c r="C42" s="179">
        <f>Statements!D73</f>
        <v>21302</v>
      </c>
      <c r="D42" s="179">
        <f>Statements!E73</f>
        <v>25304</v>
      </c>
      <c r="E42" s="179">
        <f>Statements!F73</f>
        <v>29487</v>
      </c>
      <c r="F42" s="179">
        <f>Statements!G73</f>
        <v>27886</v>
      </c>
      <c r="G42" s="180">
        <f>Statements!H73</f>
        <v>31453</v>
      </c>
      <c r="H42" s="179">
        <f>'COGS &amp; OpEx'!H15+'COGS &amp; OpEx'!H16</f>
        <v>32768.253004263999</v>
      </c>
      <c r="I42" s="179">
        <f>'COGS &amp; OpEx'!I15+'COGS &amp; OpEx'!I16</f>
        <v>34276.971639102339</v>
      </c>
      <c r="J42" s="179">
        <f>'COGS &amp; OpEx'!J15+'COGS &amp; OpEx'!J16</f>
        <v>32516.240120986044</v>
      </c>
      <c r="K42" s="179">
        <f>'COGS &amp; OpEx'!K15+'COGS &amp; OpEx'!K16</f>
        <v>30825.892187866855</v>
      </c>
      <c r="L42" s="179">
        <f>'COGS &amp; OpEx'!L15+'COGS &amp; OpEx'!L16</f>
        <v>30670.784518958346</v>
      </c>
    </row>
    <row r="43" spans="2:12" x14ac:dyDescent="0.2">
      <c r="B43" s="106" t="s">
        <v>302</v>
      </c>
      <c r="C43" s="188">
        <f t="shared" ref="C43:H43" si="12">C42/C7</f>
        <v>9.9900109270141119E-2</v>
      </c>
      <c r="D43" s="188">
        <f t="shared" si="12"/>
        <v>9.0078672884553776E-2</v>
      </c>
      <c r="E43" s="188">
        <f t="shared" si="12"/>
        <v>8.2759143303798216E-2</v>
      </c>
      <c r="F43" s="188">
        <f t="shared" si="12"/>
        <v>6.642481295243359E-2</v>
      </c>
      <c r="G43" s="189">
        <f t="shared" si="12"/>
        <v>6.5446502327342795E-2</v>
      </c>
      <c r="H43" s="108">
        <f t="shared" si="12"/>
        <v>6.4000000000000001E-2</v>
      </c>
      <c r="I43" s="108">
        <f t="shared" ref="I43:L43" si="13">I42/I7</f>
        <v>6.3E-2</v>
      </c>
      <c r="J43" s="108">
        <f t="shared" si="13"/>
        <v>5.5E-2</v>
      </c>
      <c r="K43" s="108">
        <f t="shared" si="13"/>
        <v>4.5999999999999999E-2</v>
      </c>
      <c r="L43" s="108">
        <f t="shared" si="13"/>
        <v>3.9E-2</v>
      </c>
    </row>
    <row r="44" spans="2:12" x14ac:dyDescent="0.2">
      <c r="B44" s="106" t="s">
        <v>303</v>
      </c>
      <c r="C44" s="188">
        <f>C42/C45</f>
        <v>0.69151111832494727</v>
      </c>
      <c r="D44" s="188">
        <f t="shared" ref="D44:L44" si="14">D42/D45</f>
        <v>0.96569095141777661</v>
      </c>
      <c r="E44" s="188">
        <f t="shared" si="14"/>
        <v>1.1749213053352991</v>
      </c>
      <c r="F44" s="188">
        <f t="shared" si="14"/>
        <v>1.1576238116982855</v>
      </c>
      <c r="G44" s="189">
        <f t="shared" si="14"/>
        <v>1.2892158871992458</v>
      </c>
      <c r="H44" s="188">
        <f t="shared" si="14"/>
        <v>1.28</v>
      </c>
      <c r="I44" s="188">
        <f t="shared" si="14"/>
        <v>1.26</v>
      </c>
      <c r="J44" s="188">
        <f t="shared" si="14"/>
        <v>1.2222222222222223</v>
      </c>
      <c r="K44" s="188">
        <f t="shared" si="14"/>
        <v>1.0222222222222221</v>
      </c>
      <c r="L44" s="188">
        <f t="shared" si="14"/>
        <v>0.97499999999999998</v>
      </c>
    </row>
    <row r="45" spans="2:12" x14ac:dyDescent="0.2">
      <c r="B45" s="1" t="s">
        <v>42</v>
      </c>
      <c r="C45" s="179">
        <f>-(Statements!D88+Statements!D87)</f>
        <v>30805</v>
      </c>
      <c r="D45" s="179">
        <f>-(Statements!E88+Statements!E87)</f>
        <v>26203</v>
      </c>
      <c r="E45" s="179">
        <f>-(Statements!F88+Statements!F87)</f>
        <v>25097</v>
      </c>
      <c r="F45" s="179">
        <f>-(Statements!G88+Statements!G87)</f>
        <v>24089</v>
      </c>
      <c r="G45" s="180">
        <f>-(Statements!H88+Statements!H87)</f>
        <v>24397</v>
      </c>
      <c r="H45" s="34">
        <f>H7*H46</f>
        <v>25600.197659581248</v>
      </c>
      <c r="I45" s="34">
        <f>I7*I46</f>
        <v>27203.945745319317</v>
      </c>
      <c r="J45" s="34">
        <f>J7*J46</f>
        <v>26604.196462624943</v>
      </c>
      <c r="K45" s="34">
        <f>K7*K46</f>
        <v>30155.764096826271</v>
      </c>
      <c r="L45" s="34">
        <f>L7*L46</f>
        <v>31457.214891239331</v>
      </c>
    </row>
    <row r="46" spans="2:12" x14ac:dyDescent="0.2">
      <c r="B46" s="106" t="s">
        <v>302</v>
      </c>
      <c r="C46" s="188">
        <f>C45/C7</f>
        <v>0.14446638184521157</v>
      </c>
      <c r="D46" s="188">
        <f>D45/D7</f>
        <v>9.3278986152148372E-2</v>
      </c>
      <c r="E46" s="188">
        <f>E45/E7</f>
        <v>7.0438030979598595E-2</v>
      </c>
      <c r="F46" s="188">
        <f>F45/F7</f>
        <v>5.7380309804603478E-2</v>
      </c>
      <c r="G46" s="189">
        <f>G45/G7</f>
        <v>5.0764579444891808E-2</v>
      </c>
      <c r="H46" s="109">
        <v>0.05</v>
      </c>
      <c r="I46" s="109">
        <v>0.05</v>
      </c>
      <c r="J46" s="109">
        <v>4.4999999999999998E-2</v>
      </c>
      <c r="K46" s="109">
        <v>4.4999999999999998E-2</v>
      </c>
      <c r="L46" s="109">
        <v>0.04</v>
      </c>
    </row>
  </sheetData>
  <mergeCells count="13">
    <mergeCell ref="C3:G3"/>
    <mergeCell ref="H3:L3"/>
    <mergeCell ref="P3:W3"/>
    <mergeCell ref="X3:Z3"/>
    <mergeCell ref="C5:L5"/>
    <mergeCell ref="P5:Z5"/>
    <mergeCell ref="C40:L40"/>
    <mergeCell ref="C11:L11"/>
    <mergeCell ref="P11:Z11"/>
    <mergeCell ref="C18:L18"/>
    <mergeCell ref="B25:C25"/>
    <mergeCell ref="C26:L26"/>
    <mergeCell ref="C33:L33"/>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6832C-DE22-644B-8AF7-47F5F6316769}">
  <dimension ref="A1:AE35"/>
  <sheetViews>
    <sheetView topLeftCell="D28" zoomScale="194" workbookViewId="0">
      <selection activeCell="H16" sqref="H16"/>
    </sheetView>
  </sheetViews>
  <sheetFormatPr baseColWidth="10" defaultRowHeight="16" x14ac:dyDescent="0.2"/>
  <cols>
    <col min="1" max="1" width="2" style="14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4.6640625" style="1" customWidth="1"/>
    <col min="19" max="29" width="10.83203125" style="1"/>
    <col min="30" max="30" width="2" style="1" customWidth="1"/>
    <col min="31" max="31" width="12.33203125" style="1" customWidth="1"/>
    <col min="32" max="16384" width="10.83203125" style="1"/>
  </cols>
  <sheetData>
    <row r="1" spans="1:31" s="143" customFormat="1" ht="18" customHeight="1" x14ac:dyDescent="0.2">
      <c r="A1" s="141"/>
      <c r="B1" s="142" t="s">
        <v>304</v>
      </c>
    </row>
    <row r="2" spans="1:31" x14ac:dyDescent="0.2">
      <c r="A2" s="141"/>
      <c r="C2" s="233" t="s">
        <v>112</v>
      </c>
      <c r="D2" s="233"/>
      <c r="E2" s="233"/>
      <c r="F2" s="233"/>
      <c r="G2" s="234"/>
      <c r="H2" s="235" t="s">
        <v>113</v>
      </c>
      <c r="I2" s="233"/>
      <c r="J2" s="233"/>
      <c r="K2" s="233"/>
      <c r="L2" s="233"/>
      <c r="S2" s="239"/>
      <c r="T2" s="239"/>
      <c r="U2" s="239"/>
      <c r="V2" s="239"/>
      <c r="W2" s="239"/>
      <c r="X2" s="239"/>
      <c r="Y2" s="239"/>
      <c r="Z2" s="239"/>
      <c r="AA2" s="239"/>
      <c r="AB2" s="239"/>
      <c r="AC2" s="239"/>
      <c r="AE2" s="174"/>
    </row>
    <row r="3" spans="1:31" ht="10" customHeight="1" x14ac:dyDescent="0.2"/>
    <row r="4" spans="1:31" ht="16" customHeight="1" x14ac:dyDescent="0.2">
      <c r="A4" s="146"/>
      <c r="B4" s="93"/>
      <c r="C4" s="230" t="s">
        <v>5</v>
      </c>
      <c r="D4" s="230"/>
      <c r="E4" s="230"/>
      <c r="F4" s="230"/>
      <c r="G4" s="230"/>
      <c r="H4" s="230"/>
      <c r="I4" s="230"/>
      <c r="J4" s="230"/>
      <c r="K4" s="230"/>
      <c r="L4" s="230"/>
      <c r="S4" s="239"/>
      <c r="T4" s="239"/>
      <c r="U4" s="239"/>
      <c r="V4" s="239"/>
      <c r="W4" s="239"/>
      <c r="X4" s="239"/>
      <c r="Y4" s="239"/>
      <c r="Z4" s="239"/>
      <c r="AA4" s="239"/>
      <c r="AB4" s="239"/>
      <c r="AC4" s="239"/>
      <c r="AE4" s="175"/>
    </row>
    <row r="5" spans="1:31" x14ac:dyDescent="0.2">
      <c r="B5" s="7" t="s">
        <v>286</v>
      </c>
      <c r="C5" s="64">
        <f>Revenue!C5</f>
        <v>2022</v>
      </c>
      <c r="D5" s="64">
        <f>Revenue!D5</f>
        <v>2023</v>
      </c>
      <c r="E5" s="64">
        <f>Revenue!E5</f>
        <v>2024</v>
      </c>
      <c r="F5" s="64">
        <f>Revenue!F5</f>
        <v>2025</v>
      </c>
      <c r="G5" s="64">
        <f>Revenue!G5</f>
        <v>2026</v>
      </c>
      <c r="H5" s="64">
        <f>Revenue!H5</f>
        <v>2027</v>
      </c>
      <c r="I5" s="64">
        <f>Revenue!I5</f>
        <v>2028</v>
      </c>
      <c r="J5" s="64">
        <f>Revenue!J5</f>
        <v>2029</v>
      </c>
      <c r="K5" s="64">
        <f>Revenue!K5</f>
        <v>2030</v>
      </c>
      <c r="L5" s="64">
        <f>Revenue!L5</f>
        <v>2031</v>
      </c>
      <c r="R5" s="7"/>
      <c r="S5" s="176"/>
      <c r="T5" s="176"/>
      <c r="U5" s="176"/>
      <c r="V5" s="176"/>
      <c r="W5" s="176"/>
      <c r="X5" s="176"/>
      <c r="Y5" s="176"/>
      <c r="Z5" s="176"/>
      <c r="AA5" s="176"/>
      <c r="AB5" s="176"/>
      <c r="AC5" s="176"/>
      <c r="AE5" s="175"/>
    </row>
    <row r="6" spans="1:31" x14ac:dyDescent="0.2">
      <c r="B6" s="7" t="s">
        <v>6</v>
      </c>
      <c r="C6" s="152">
        <f>Revenue!C9</f>
        <v>213233</v>
      </c>
      <c r="D6" s="152">
        <f>Revenue!D9</f>
        <v>280910</v>
      </c>
      <c r="E6" s="152">
        <f>Revenue!E9</f>
        <v>356299</v>
      </c>
      <c r="F6" s="152">
        <f>Revenue!F9</f>
        <v>419813</v>
      </c>
      <c r="G6" s="153">
        <f>Revenue!G9</f>
        <v>480591</v>
      </c>
      <c r="H6" s="152">
        <f>Revenue!H9</f>
        <v>512003.95319162495</v>
      </c>
      <c r="I6" s="152">
        <f>Revenue!I9</f>
        <v>544078.91490638629</v>
      </c>
      <c r="J6" s="152">
        <f>Revenue!J9</f>
        <v>591204.36583610985</v>
      </c>
      <c r="K6" s="152">
        <f>Revenue!K9</f>
        <v>670128.09104058379</v>
      </c>
      <c r="L6" s="152">
        <f>Revenue!L9</f>
        <v>786430.37228098325</v>
      </c>
      <c r="N6" s="151" t="s">
        <v>305</v>
      </c>
      <c r="Q6" s="151"/>
      <c r="S6" s="148"/>
      <c r="T6" s="148"/>
      <c r="U6" s="148"/>
      <c r="V6" s="148"/>
      <c r="W6" s="148"/>
      <c r="X6" s="148"/>
      <c r="Y6" s="148"/>
      <c r="Z6" s="148"/>
      <c r="AA6" s="150"/>
      <c r="AB6" s="150"/>
      <c r="AC6" s="150"/>
      <c r="AE6" s="150"/>
    </row>
    <row r="7" spans="1:31" x14ac:dyDescent="0.2">
      <c r="B7" s="1" t="s">
        <v>7</v>
      </c>
      <c r="C7" s="148">
        <f>'COGS &amp; OpEx'!C11</f>
        <v>81388</v>
      </c>
      <c r="D7" s="148">
        <f>'COGS &amp; OpEx'!D11</f>
        <v>109267</v>
      </c>
      <c r="E7" s="148">
        <f>'COGS &amp; OpEx'!E11</f>
        <v>124011</v>
      </c>
      <c r="F7" s="148">
        <f>'COGS &amp; OpEx'!F11</f>
        <v>134934</v>
      </c>
      <c r="G7" s="149">
        <f>'COGS &amp; OpEx'!G11</f>
        <v>154123</v>
      </c>
      <c r="H7" s="177">
        <f>'COGS &amp; OpEx'!H11</f>
        <v>158721.22548940373</v>
      </c>
      <c r="I7" s="177">
        <f>'COGS &amp; OpEx'!I11</f>
        <v>157782.885322852</v>
      </c>
      <c r="J7" s="177">
        <f>'COGS &amp; OpEx'!J11</f>
        <v>165537.22243411076</v>
      </c>
      <c r="K7" s="177">
        <f>'COGS &amp; OpEx'!K11</f>
        <v>187635.86549136348</v>
      </c>
      <c r="L7" s="177">
        <f>'COGS &amp; OpEx'!L11</f>
        <v>228064.80796148512</v>
      </c>
      <c r="N7" s="151" t="s">
        <v>306</v>
      </c>
      <c r="Q7" s="151"/>
      <c r="S7" s="148"/>
      <c r="T7" s="148"/>
      <c r="U7" s="148"/>
      <c r="V7" s="148"/>
      <c r="W7" s="148"/>
      <c r="X7" s="148"/>
      <c r="Y7" s="148"/>
      <c r="Z7" s="148"/>
      <c r="AA7" s="150"/>
      <c r="AB7" s="150"/>
      <c r="AC7" s="150"/>
      <c r="AE7" s="150"/>
    </row>
    <row r="8" spans="1:31" x14ac:dyDescent="0.2">
      <c r="B8" s="7" t="s">
        <v>307</v>
      </c>
      <c r="C8" s="154">
        <f>C6-C7</f>
        <v>131845</v>
      </c>
      <c r="D8" s="154">
        <f t="shared" ref="D8:L8" si="0">D6-D7</f>
        <v>171643</v>
      </c>
      <c r="E8" s="154">
        <f t="shared" si="0"/>
        <v>232288</v>
      </c>
      <c r="F8" s="154">
        <f t="shared" si="0"/>
        <v>284879</v>
      </c>
      <c r="G8" s="191">
        <f t="shared" si="0"/>
        <v>326468</v>
      </c>
      <c r="H8" s="154">
        <f t="shared" si="0"/>
        <v>353282.72770222125</v>
      </c>
      <c r="I8" s="154">
        <f t="shared" si="0"/>
        <v>386296.02958353428</v>
      </c>
      <c r="J8" s="154">
        <f t="shared" si="0"/>
        <v>425667.14340199908</v>
      </c>
      <c r="K8" s="154">
        <f t="shared" si="0"/>
        <v>482492.22554922034</v>
      </c>
      <c r="L8" s="154">
        <f t="shared" si="0"/>
        <v>558365.56431949814</v>
      </c>
      <c r="N8" s="151"/>
      <c r="Q8" s="151"/>
      <c r="S8" s="148"/>
      <c r="T8" s="148"/>
      <c r="U8" s="148"/>
      <c r="V8" s="148"/>
      <c r="W8" s="148"/>
      <c r="X8" s="148"/>
      <c r="Y8" s="148"/>
      <c r="Z8" s="148"/>
      <c r="AA8" s="150"/>
      <c r="AB8" s="150"/>
      <c r="AC8" s="150"/>
      <c r="AE8" s="150"/>
    </row>
    <row r="9" spans="1:31" x14ac:dyDescent="0.2">
      <c r="B9" s="1" t="str">
        <f>'COGS &amp; OpEx'!B12</f>
        <v>Sales and marketing</v>
      </c>
      <c r="C9" s="148">
        <f>'COGS &amp; OpEx'!C12</f>
        <v>106421</v>
      </c>
      <c r="D9" s="148">
        <f>'COGS &amp; OpEx'!D12</f>
        <v>151263</v>
      </c>
      <c r="E9" s="148">
        <f>'COGS &amp; OpEx'!E12</f>
        <v>147008</v>
      </c>
      <c r="F9" s="148">
        <f>'COGS &amp; OpEx'!F12</f>
        <v>121129</v>
      </c>
      <c r="G9" s="149">
        <f>'COGS &amp; OpEx'!G12</f>
        <v>100243</v>
      </c>
      <c r="H9" s="177">
        <f>'COGS &amp; OpEx'!H12</f>
        <v>107520.83017024124</v>
      </c>
      <c r="I9" s="177">
        <f>'COGS &amp; OpEx'!I12</f>
        <v>119697.36127940498</v>
      </c>
      <c r="J9" s="177">
        <f>'COGS &amp; OpEx'!J12</f>
        <v>124152.91682558306</v>
      </c>
      <c r="K9" s="177">
        <f>'COGS &amp; OpEx'!K12</f>
        <v>134025.61820811676</v>
      </c>
      <c r="L9" s="177">
        <f>'COGS &amp; OpEx'!L12</f>
        <v>157286.07445619666</v>
      </c>
      <c r="N9" s="151" t="s">
        <v>306</v>
      </c>
      <c r="Q9" s="151"/>
      <c r="S9" s="148"/>
      <c r="T9" s="148"/>
      <c r="U9" s="148"/>
      <c r="V9" s="148"/>
      <c r="W9" s="148"/>
      <c r="X9" s="148"/>
      <c r="Y9" s="148"/>
      <c r="Z9" s="148"/>
      <c r="AA9" s="150"/>
      <c r="AB9" s="150"/>
      <c r="AC9" s="150"/>
      <c r="AE9" s="150"/>
    </row>
    <row r="10" spans="1:31" x14ac:dyDescent="0.2">
      <c r="B10" s="1" t="str">
        <f>'COGS &amp; OpEx'!B13</f>
        <v>R&amp;D</v>
      </c>
      <c r="C10" s="148">
        <f>'COGS &amp; OpEx'!C13</f>
        <v>52265</v>
      </c>
      <c r="D10" s="148">
        <f>'COGS &amp; OpEx'!D13</f>
        <v>91244</v>
      </c>
      <c r="E10" s="148">
        <f>'COGS &amp; OpEx'!E13</f>
        <v>112346</v>
      </c>
      <c r="F10" s="148">
        <f>'COGS &amp; OpEx'!F13</f>
        <v>117364</v>
      </c>
      <c r="G10" s="149">
        <f>'COGS &amp; OpEx'!G13</f>
        <v>121481</v>
      </c>
      <c r="H10" s="177">
        <f>'COGS &amp; OpEx'!H13</f>
        <v>133121.0278298225</v>
      </c>
      <c r="I10" s="177">
        <f>'COGS &amp; OpEx'!I13</f>
        <v>141460.51787566044</v>
      </c>
      <c r="J10" s="177">
        <f>'COGS &amp; OpEx'!J13</f>
        <v>147801.09145902746</v>
      </c>
      <c r="K10" s="177">
        <f>'COGS &amp; OpEx'!K13</f>
        <v>147428.18002892844</v>
      </c>
      <c r="L10" s="177">
        <f>'COGS &amp; OpEx'!L13</f>
        <v>165150.37817900648</v>
      </c>
      <c r="N10" s="151" t="s">
        <v>306</v>
      </c>
      <c r="Q10" s="151"/>
      <c r="S10" s="148"/>
      <c r="T10" s="148"/>
      <c r="U10" s="148"/>
      <c r="V10" s="148"/>
      <c r="W10" s="148"/>
      <c r="X10" s="148"/>
      <c r="Y10" s="148"/>
      <c r="Z10" s="148"/>
      <c r="AA10" s="150"/>
      <c r="AB10" s="150"/>
      <c r="AC10" s="150"/>
      <c r="AE10" s="150"/>
    </row>
    <row r="11" spans="1:31" x14ac:dyDescent="0.2">
      <c r="B11" s="1" t="str">
        <f>'COGS &amp; OpEx'!B14</f>
        <v>General and administrative</v>
      </c>
      <c r="C11" s="148">
        <f>'COGS &amp; OpEx'!C14</f>
        <v>68674</v>
      </c>
      <c r="D11" s="148">
        <f>'COGS &amp; OpEx'!D14</f>
        <v>80384</v>
      </c>
      <c r="E11" s="148">
        <f>'COGS &amp; OpEx'!E14</f>
        <v>79926</v>
      </c>
      <c r="F11" s="148">
        <f>'COGS &amp; OpEx'!F14</f>
        <v>76597</v>
      </c>
      <c r="G11" s="149">
        <f>'COGS &amp; OpEx'!G14</f>
        <v>79903</v>
      </c>
      <c r="H11" s="177">
        <f>'COGS &amp; OpEx'!H14</f>
        <v>79360.612744701866</v>
      </c>
      <c r="I11" s="177">
        <f>'COGS &amp; OpEx'!I14</f>
        <v>89228.942044647352</v>
      </c>
      <c r="J11" s="177">
        <f>'COGS &amp; OpEx'!J14</f>
        <v>94592.698533777584</v>
      </c>
      <c r="K11" s="177">
        <f>'COGS &amp; OpEx'!K14</f>
        <v>113921.77547689926</v>
      </c>
      <c r="L11" s="177">
        <f>'COGS &amp; OpEx'!L14</f>
        <v>125828.85956495733</v>
      </c>
      <c r="N11" s="151" t="s">
        <v>306</v>
      </c>
      <c r="Q11" s="151"/>
      <c r="S11" s="148"/>
      <c r="T11" s="148"/>
      <c r="U11" s="148"/>
      <c r="V11" s="148"/>
      <c r="W11" s="148"/>
      <c r="X11" s="148"/>
      <c r="Y11" s="148"/>
      <c r="Z11" s="148"/>
      <c r="AA11" s="150"/>
      <c r="AB11" s="150"/>
      <c r="AC11" s="150"/>
      <c r="AE11" s="150"/>
    </row>
    <row r="12" spans="1:31" x14ac:dyDescent="0.2">
      <c r="B12" s="1" t="str">
        <f>'COGS &amp; OpEx'!B15</f>
        <v>Depreciation</v>
      </c>
      <c r="C12" s="148">
        <f>'COGS &amp; OpEx'!C15</f>
        <v>14985</v>
      </c>
      <c r="D12" s="148">
        <f>'COGS &amp; OpEx'!D15</f>
        <v>17988</v>
      </c>
      <c r="E12" s="148">
        <f>'COGS &amp; OpEx'!E15</f>
        <v>17584</v>
      </c>
      <c r="F12" s="148">
        <f>'COGS &amp; OpEx'!F15</f>
        <v>14183</v>
      </c>
      <c r="G12" s="149">
        <f>'COGS &amp; OpEx'!G15</f>
        <v>12972</v>
      </c>
      <c r="H12" s="177">
        <f>'COGS &amp; OpEx'!H15</f>
        <v>12288.094876599</v>
      </c>
      <c r="I12" s="177">
        <f>'COGS &amp; OpEx'!I15</f>
        <v>13601.972872659659</v>
      </c>
      <c r="J12" s="177">
        <f>'COGS &amp; OpEx'!J15</f>
        <v>13597.700414230527</v>
      </c>
      <c r="K12" s="177">
        <f>'COGS &amp; OpEx'!K15</f>
        <v>13402.561820811676</v>
      </c>
      <c r="L12" s="177">
        <f>'COGS &amp; OpEx'!L15</f>
        <v>13369.316328776717</v>
      </c>
      <c r="N12" s="151" t="s">
        <v>306</v>
      </c>
      <c r="Q12" s="151"/>
      <c r="S12" s="148"/>
      <c r="T12" s="148"/>
      <c r="U12" s="148"/>
      <c r="V12" s="148"/>
      <c r="W12" s="148"/>
      <c r="X12" s="148"/>
      <c r="Y12" s="148"/>
      <c r="Z12" s="148"/>
      <c r="AA12" s="150"/>
      <c r="AB12" s="150"/>
      <c r="AC12" s="150"/>
      <c r="AE12" s="150"/>
    </row>
    <row r="13" spans="1:31" x14ac:dyDescent="0.2">
      <c r="B13" s="1" t="str">
        <f>'COGS &amp; OpEx'!B16</f>
        <v>Amortization</v>
      </c>
      <c r="C13" s="148">
        <f>'COGS &amp; OpEx'!C16</f>
        <v>6317</v>
      </c>
      <c r="D13" s="148">
        <f>'COGS &amp; OpEx'!D16</f>
        <v>7316</v>
      </c>
      <c r="E13" s="148">
        <f>'COGS &amp; OpEx'!E16</f>
        <v>11903</v>
      </c>
      <c r="F13" s="148">
        <f>'COGS &amp; OpEx'!F16</f>
        <v>13703</v>
      </c>
      <c r="G13" s="149">
        <f>'COGS &amp; OpEx'!G16</f>
        <v>18481</v>
      </c>
      <c r="H13" s="177">
        <f>'COGS &amp; OpEx'!H16</f>
        <v>20480.158127664999</v>
      </c>
      <c r="I13" s="177">
        <f>'COGS &amp; OpEx'!I16</f>
        <v>20674.998766442677</v>
      </c>
      <c r="J13" s="177">
        <f>'COGS &amp; OpEx'!J16</f>
        <v>18918.539706755517</v>
      </c>
      <c r="K13" s="177">
        <f>'COGS &amp; OpEx'!K16</f>
        <v>17423.33036705518</v>
      </c>
      <c r="L13" s="177">
        <f>'COGS &amp; OpEx'!L16</f>
        <v>17301.468190181629</v>
      </c>
      <c r="N13" s="151" t="s">
        <v>306</v>
      </c>
      <c r="Q13" s="151"/>
      <c r="S13" s="148"/>
      <c r="T13" s="148"/>
      <c r="U13" s="148"/>
      <c r="V13" s="148"/>
      <c r="W13" s="148"/>
      <c r="X13" s="148"/>
      <c r="Y13" s="148"/>
      <c r="Z13" s="148"/>
      <c r="AA13" s="150"/>
      <c r="AB13" s="150"/>
      <c r="AC13" s="150"/>
      <c r="AE13" s="150"/>
    </row>
    <row r="14" spans="1:31" x14ac:dyDescent="0.2">
      <c r="B14" s="1" t="s">
        <v>11</v>
      </c>
      <c r="C14" s="148">
        <f>'COGS &amp; OpEx'!C17</f>
        <v>248662</v>
      </c>
      <c r="D14" s="148">
        <f>'COGS &amp; OpEx'!D17</f>
        <v>348195</v>
      </c>
      <c r="E14" s="148">
        <f>'COGS &amp; OpEx'!E17</f>
        <v>368767</v>
      </c>
      <c r="F14" s="148">
        <f>'COGS &amp; OpEx'!F17</f>
        <v>342976</v>
      </c>
      <c r="G14" s="149">
        <f>'COGS &amp; OpEx'!G17</f>
        <v>333080</v>
      </c>
      <c r="H14" s="177">
        <f>'COGS &amp; OpEx'!H17</f>
        <v>352770.72374902957</v>
      </c>
      <c r="I14" s="177">
        <f>'COGS &amp; OpEx'!I17</f>
        <v>384663.79283881519</v>
      </c>
      <c r="J14" s="177">
        <f>'COGS &amp; OpEx'!J17</f>
        <v>399062.94693937409</v>
      </c>
      <c r="K14" s="177">
        <f>'COGS &amp; OpEx'!K17</f>
        <v>426201.46590181126</v>
      </c>
      <c r="L14" s="177">
        <f>'COGS &amp; OpEx'!L17</f>
        <v>478936.09671911882</v>
      </c>
      <c r="N14" s="192" t="s">
        <v>306</v>
      </c>
      <c r="Q14" s="151"/>
      <c r="S14" s="148"/>
      <c r="T14" s="148"/>
      <c r="U14" s="148"/>
      <c r="V14" s="148"/>
      <c r="W14" s="148"/>
      <c r="X14" s="148"/>
      <c r="Y14" s="148"/>
      <c r="Z14" s="148"/>
      <c r="AA14" s="150"/>
      <c r="AB14" s="150"/>
      <c r="AC14" s="150"/>
      <c r="AE14" s="150"/>
    </row>
    <row r="15" spans="1:31" x14ac:dyDescent="0.2">
      <c r="B15" s="1" t="s">
        <v>390</v>
      </c>
      <c r="C15" s="148">
        <f>'Statement Y'!D200</f>
        <v>191.77500000000001</v>
      </c>
      <c r="D15" s="148">
        <f>'Statement Y'!E200</f>
        <v>96.224999999999994</v>
      </c>
      <c r="E15" s="148">
        <f>'Statement Y'!F200</f>
        <v>39.524999999999999</v>
      </c>
      <c r="F15" s="148">
        <f>'Statement Y'!G200</f>
        <v>120.75</v>
      </c>
      <c r="G15" s="149">
        <f>'Statement Y'!H200</f>
        <v>177.07499999999999</v>
      </c>
      <c r="H15" s="228">
        <v>1318</v>
      </c>
      <c r="I15" s="228">
        <v>793</v>
      </c>
      <c r="J15" s="228">
        <v>292</v>
      </c>
      <c r="K15" s="228">
        <v>0</v>
      </c>
      <c r="L15" s="228">
        <v>0</v>
      </c>
      <c r="N15" s="192" t="s">
        <v>391</v>
      </c>
      <c r="Q15" s="151"/>
      <c r="S15" s="148"/>
      <c r="T15" s="148"/>
      <c r="U15" s="148"/>
      <c r="V15" s="148"/>
      <c r="W15" s="148"/>
      <c r="X15" s="148"/>
      <c r="Y15" s="148"/>
      <c r="Z15" s="148"/>
      <c r="AA15" s="150"/>
      <c r="AB15" s="150"/>
      <c r="AC15" s="150"/>
      <c r="AE15" s="150"/>
    </row>
    <row r="16" spans="1:31" x14ac:dyDescent="0.2">
      <c r="B16" s="1" t="s">
        <v>392</v>
      </c>
      <c r="C16" s="148">
        <f>'Statement Y'!D201</f>
        <v>1127.2249999999999</v>
      </c>
      <c r="D16" s="148">
        <f>'Statement Y'!E201</f>
        <v>1800.7750000000001</v>
      </c>
      <c r="E16" s="148">
        <f>'Statement Y'!F201</f>
        <v>747.47500000000002</v>
      </c>
      <c r="F16" s="148">
        <f>'Statement Y'!G201</f>
        <v>862.25</v>
      </c>
      <c r="G16" s="149">
        <f>'Statement Y'!H201</f>
        <v>776.92499999999995</v>
      </c>
      <c r="H16" s="104">
        <f>H15-H15*Overview!$C$4</f>
        <v>1219.1500000000001</v>
      </c>
      <c r="I16" s="104">
        <f>I15-I15*Overview!$C$4</f>
        <v>733.52499999999998</v>
      </c>
      <c r="J16" s="104">
        <f>J15-J15*Overview!$C$4</f>
        <v>270.10000000000002</v>
      </c>
      <c r="K16" s="104">
        <f>K15-K15*Overview!$C$4</f>
        <v>0</v>
      </c>
      <c r="L16" s="104">
        <f>L15-L15*Overview!$C$4</f>
        <v>0</v>
      </c>
      <c r="N16" s="192"/>
      <c r="Q16" s="151"/>
      <c r="S16" s="148"/>
      <c r="T16" s="148"/>
      <c r="U16" s="148"/>
      <c r="V16" s="148"/>
      <c r="W16" s="148"/>
      <c r="X16" s="148"/>
      <c r="Y16" s="148"/>
      <c r="Z16" s="148"/>
      <c r="AA16" s="150"/>
      <c r="AB16" s="150"/>
      <c r="AC16" s="150"/>
      <c r="AE16" s="150"/>
    </row>
    <row r="17" spans="2:31" x14ac:dyDescent="0.2">
      <c r="B17" s="7" t="s">
        <v>308</v>
      </c>
      <c r="C17" s="154">
        <f>C8-C14+C15-C16</f>
        <v>-117752.45000000001</v>
      </c>
      <c r="D17" s="154">
        <f t="shared" ref="D17:G17" si="1">D8-D14+D15-D16</f>
        <v>-178256.55</v>
      </c>
      <c r="E17" s="154">
        <f t="shared" si="1"/>
        <v>-137186.95000000001</v>
      </c>
      <c r="F17" s="154">
        <f t="shared" si="1"/>
        <v>-58838.5</v>
      </c>
      <c r="G17" s="191">
        <f t="shared" si="1"/>
        <v>-7211.85</v>
      </c>
      <c r="H17" s="154">
        <f>H8-H14+H15*Overview!$C$4</f>
        <v>610.85395319168458</v>
      </c>
      <c r="I17" s="154">
        <f>I8-I14+I15*Overview!$C$4</f>
        <v>1691.7117447190917</v>
      </c>
      <c r="J17" s="154">
        <f>J8-J14+J15*Overview!$C$4</f>
        <v>26626.096462624999</v>
      </c>
      <c r="K17" s="154">
        <f>K8-K14+K15*Overview!$C$4</f>
        <v>56290.759647409082</v>
      </c>
      <c r="L17" s="154">
        <f>L8-L14+L15*Overview!$C$4</f>
        <v>79429.467600379314</v>
      </c>
      <c r="N17" s="151"/>
      <c r="Q17" s="151"/>
      <c r="S17" s="148"/>
      <c r="T17" s="148"/>
      <c r="U17" s="148"/>
      <c r="V17" s="148"/>
      <c r="W17" s="148"/>
      <c r="X17" s="148"/>
      <c r="Y17" s="148"/>
      <c r="Z17" s="148"/>
      <c r="AA17" s="150"/>
      <c r="AB17" s="150"/>
      <c r="AC17" s="150"/>
      <c r="AE17" s="150"/>
    </row>
    <row r="20" spans="2:31" x14ac:dyDescent="0.2">
      <c r="C20" s="230" t="s">
        <v>309</v>
      </c>
      <c r="D20" s="230"/>
      <c r="E20" s="230"/>
      <c r="F20" s="230"/>
      <c r="G20" s="230"/>
      <c r="H20" s="230"/>
      <c r="I20" s="230"/>
      <c r="J20" s="230"/>
      <c r="K20" s="230"/>
      <c r="L20" s="230"/>
    </row>
    <row r="21" spans="2:31" x14ac:dyDescent="0.2">
      <c r="C21" s="64">
        <f t="shared" ref="C21:L21" si="2">C5</f>
        <v>2022</v>
      </c>
      <c r="D21" s="64">
        <f t="shared" si="2"/>
        <v>2023</v>
      </c>
      <c r="E21" s="64">
        <f t="shared" si="2"/>
        <v>2024</v>
      </c>
      <c r="F21" s="64">
        <f t="shared" si="2"/>
        <v>2025</v>
      </c>
      <c r="G21" s="64">
        <f t="shared" si="2"/>
        <v>2026</v>
      </c>
      <c r="H21" s="64">
        <f t="shared" si="2"/>
        <v>2027</v>
      </c>
      <c r="I21" s="64">
        <f t="shared" si="2"/>
        <v>2028</v>
      </c>
      <c r="J21" s="64">
        <f t="shared" si="2"/>
        <v>2029</v>
      </c>
      <c r="K21" s="64">
        <f t="shared" si="2"/>
        <v>2030</v>
      </c>
      <c r="L21" s="64">
        <f t="shared" si="2"/>
        <v>2031</v>
      </c>
    </row>
    <row r="22" spans="2:31" x14ac:dyDescent="0.2">
      <c r="B22" s="1" t="s">
        <v>92</v>
      </c>
      <c r="C22" s="169">
        <f>'Statement Y'!D151</f>
        <v>1.5426474203036134E-3</v>
      </c>
      <c r="D22" s="169">
        <f>'Statement Y'!E151</f>
        <v>2.7495830083739889E-3</v>
      </c>
      <c r="E22" s="169">
        <f>'Statement Y'!F151</f>
        <v>1.1400747735366701E-2</v>
      </c>
      <c r="F22" s="169">
        <f>'Statement Y'!G151</f>
        <v>4.8664241816129439E-2</v>
      </c>
      <c r="G22" s="193">
        <v>0</v>
      </c>
      <c r="H22" s="194">
        <v>0.21</v>
      </c>
      <c r="I22" s="194">
        <v>0.21</v>
      </c>
      <c r="J22" s="194">
        <v>0.21</v>
      </c>
      <c r="K22" s="194">
        <v>0.21</v>
      </c>
      <c r="L22" s="194">
        <v>0.21</v>
      </c>
    </row>
    <row r="25" spans="2:31" x14ac:dyDescent="0.2">
      <c r="C25" s="230" t="s">
        <v>310</v>
      </c>
      <c r="D25" s="230"/>
      <c r="E25" s="230"/>
      <c r="F25" s="230"/>
      <c r="G25" s="230"/>
      <c r="H25" s="230"/>
      <c r="I25" s="230"/>
      <c r="J25" s="230"/>
      <c r="K25" s="230"/>
      <c r="L25" s="230"/>
    </row>
    <row r="26" spans="2:31" x14ac:dyDescent="0.2">
      <c r="B26" s="7" t="s">
        <v>286</v>
      </c>
      <c r="C26" s="64">
        <f t="shared" ref="C26:L26" si="3">C5</f>
        <v>2022</v>
      </c>
      <c r="D26" s="64">
        <f t="shared" si="3"/>
        <v>2023</v>
      </c>
      <c r="E26" s="64">
        <f t="shared" si="3"/>
        <v>2024</v>
      </c>
      <c r="F26" s="64">
        <f t="shared" si="3"/>
        <v>2025</v>
      </c>
      <c r="G26" s="64">
        <f t="shared" si="3"/>
        <v>2026</v>
      </c>
      <c r="H26" s="64">
        <f t="shared" si="3"/>
        <v>2027</v>
      </c>
      <c r="I26" s="64">
        <f t="shared" si="3"/>
        <v>2028</v>
      </c>
      <c r="J26" s="64">
        <f t="shared" si="3"/>
        <v>2029</v>
      </c>
      <c r="K26" s="64">
        <f t="shared" si="3"/>
        <v>2030</v>
      </c>
      <c r="L26" s="64">
        <f t="shared" si="3"/>
        <v>2031</v>
      </c>
    </row>
    <row r="27" spans="2:31" x14ac:dyDescent="0.2">
      <c r="B27" s="1" t="s">
        <v>38</v>
      </c>
      <c r="C27" s="148">
        <f>'WC &amp; Investments'!C42</f>
        <v>21302</v>
      </c>
      <c r="D27" s="148">
        <f>'WC &amp; Investments'!D42</f>
        <v>25304</v>
      </c>
      <c r="E27" s="148">
        <f>'WC &amp; Investments'!E42</f>
        <v>29487</v>
      </c>
      <c r="F27" s="148">
        <f>'WC &amp; Investments'!F42</f>
        <v>27886</v>
      </c>
      <c r="G27" s="149">
        <f>'WC &amp; Investments'!G42</f>
        <v>31453</v>
      </c>
      <c r="H27" s="148">
        <f>'WC &amp; Investments'!H42</f>
        <v>32768.253004263999</v>
      </c>
      <c r="I27" s="148">
        <f>'WC &amp; Investments'!I42</f>
        <v>34276.971639102339</v>
      </c>
      <c r="J27" s="148">
        <f>'WC &amp; Investments'!J42</f>
        <v>32516.240120986044</v>
      </c>
      <c r="K27" s="148">
        <f>'WC &amp; Investments'!K42</f>
        <v>30825.892187866855</v>
      </c>
      <c r="L27" s="148">
        <f>'WC &amp; Investments'!L42</f>
        <v>30670.784518958346</v>
      </c>
      <c r="N27" s="1" t="s">
        <v>311</v>
      </c>
    </row>
    <row r="28" spans="2:31" x14ac:dyDescent="0.2">
      <c r="B28" s="1" t="s">
        <v>42</v>
      </c>
      <c r="C28" s="148">
        <f>'WC &amp; Investments'!C45</f>
        <v>30805</v>
      </c>
      <c r="D28" s="148">
        <f>'WC &amp; Investments'!D45</f>
        <v>26203</v>
      </c>
      <c r="E28" s="148">
        <f>'WC &amp; Investments'!E45</f>
        <v>25097</v>
      </c>
      <c r="F28" s="148">
        <f>'WC &amp; Investments'!F45</f>
        <v>24089</v>
      </c>
      <c r="G28" s="149">
        <f>'WC &amp; Investments'!G45</f>
        <v>24397</v>
      </c>
      <c r="H28" s="148">
        <f>'WC &amp; Investments'!H45</f>
        <v>25600.197659581248</v>
      </c>
      <c r="I28" s="148">
        <f>'WC &amp; Investments'!I45</f>
        <v>27203.945745319317</v>
      </c>
      <c r="J28" s="148">
        <f>'WC &amp; Investments'!J45</f>
        <v>26604.196462624943</v>
      </c>
      <c r="K28" s="148">
        <f>'WC &amp; Investments'!K45</f>
        <v>30155.764096826271</v>
      </c>
      <c r="L28" s="148">
        <f>'WC &amp; Investments'!L45</f>
        <v>31457.214891239331</v>
      </c>
      <c r="N28" s="1" t="s">
        <v>311</v>
      </c>
    </row>
    <row r="29" spans="2:31" x14ac:dyDescent="0.2">
      <c r="B29" s="1" t="s">
        <v>312</v>
      </c>
      <c r="C29" s="148">
        <f>'WC &amp; Investments'!C35</f>
        <v>-18571</v>
      </c>
      <c r="D29" s="148">
        <f>'WC &amp; Investments'!D35</f>
        <v>-3862</v>
      </c>
      <c r="E29" s="148">
        <f>'WC &amp; Investments'!E35</f>
        <v>-1637</v>
      </c>
      <c r="F29" s="148">
        <f>'WC &amp; Investments'!F35</f>
        <v>-6493</v>
      </c>
      <c r="G29" s="149">
        <f>'WC &amp; Investments'!G35</f>
        <v>-14090</v>
      </c>
      <c r="H29" s="148">
        <f>'WC &amp; Investments'!H35</f>
        <v>6769.6898165339544</v>
      </c>
      <c r="I29" s="148">
        <f>'WC &amp; Investments'!I35</f>
        <v>1942.9805335584442</v>
      </c>
      <c r="J29" s="148">
        <f>'WC &amp; Investments'!J35</f>
        <v>382.67151442404429</v>
      </c>
      <c r="K29" s="148">
        <f>'WC &amp; Investments'!K35</f>
        <v>-3509.9856065134463</v>
      </c>
      <c r="L29" s="148">
        <f>'WC &amp; Investments'!L35</f>
        <v>-7628.2216284011392</v>
      </c>
      <c r="N29" s="1" t="s">
        <v>311</v>
      </c>
    </row>
    <row r="32" spans="2:31" x14ac:dyDescent="0.2">
      <c r="C32" s="230" t="s">
        <v>313</v>
      </c>
      <c r="D32" s="230"/>
      <c r="E32" s="230"/>
      <c r="F32" s="230"/>
      <c r="G32" s="230"/>
      <c r="H32" s="230"/>
      <c r="I32" s="230"/>
      <c r="J32" s="230"/>
      <c r="K32" s="230"/>
      <c r="L32" s="230"/>
    </row>
    <row r="33" spans="2:12" x14ac:dyDescent="0.2">
      <c r="B33" s="7" t="s">
        <v>286</v>
      </c>
      <c r="C33" s="64">
        <f t="shared" ref="C33:L33" si="4">C5</f>
        <v>2022</v>
      </c>
      <c r="D33" s="64">
        <f t="shared" si="4"/>
        <v>2023</v>
      </c>
      <c r="E33" s="64">
        <f t="shared" si="4"/>
        <v>2024</v>
      </c>
      <c r="F33" s="64">
        <f t="shared" si="4"/>
        <v>2025</v>
      </c>
      <c r="G33" s="64">
        <f t="shared" si="4"/>
        <v>2026</v>
      </c>
      <c r="H33" s="64">
        <f t="shared" si="4"/>
        <v>2027</v>
      </c>
      <c r="I33" s="64">
        <f t="shared" si="4"/>
        <v>2028</v>
      </c>
      <c r="J33" s="64">
        <f t="shared" si="4"/>
        <v>2029</v>
      </c>
      <c r="K33" s="64">
        <f t="shared" si="4"/>
        <v>2030</v>
      </c>
      <c r="L33" s="64">
        <f t="shared" si="4"/>
        <v>2031</v>
      </c>
    </row>
    <row r="34" spans="2:12" x14ac:dyDescent="0.2">
      <c r="B34" s="1" t="s">
        <v>219</v>
      </c>
      <c r="C34" s="120">
        <f>C17*(1-C22)</f>
        <v>-117570.79948677307</v>
      </c>
      <c r="D34" s="120">
        <f t="shared" ref="D34:L34" si="5">D17*(1-D22)</f>
        <v>-177766.4188189886</v>
      </c>
      <c r="E34" s="120">
        <f t="shared" si="5"/>
        <v>-135622.91619046565</v>
      </c>
      <c r="F34" s="120">
        <f t="shared" si="5"/>
        <v>-55975.16900790167</v>
      </c>
      <c r="G34" s="195">
        <f t="shared" si="5"/>
        <v>-7211.85</v>
      </c>
      <c r="H34" s="120">
        <f t="shared" si="5"/>
        <v>482.57462302143085</v>
      </c>
      <c r="I34" s="120">
        <f t="shared" si="5"/>
        <v>1336.4522783280825</v>
      </c>
      <c r="J34" s="120">
        <f t="shared" si="5"/>
        <v>21034.616205473751</v>
      </c>
      <c r="K34" s="120">
        <f t="shared" si="5"/>
        <v>44469.700121453177</v>
      </c>
      <c r="L34" s="120">
        <f t="shared" si="5"/>
        <v>62749.279404299661</v>
      </c>
    </row>
    <row r="35" spans="2:12" x14ac:dyDescent="0.2">
      <c r="B35" s="7" t="s">
        <v>313</v>
      </c>
      <c r="C35" s="154">
        <f>C34+C27-C28+C29</f>
        <v>-145644.79948677309</v>
      </c>
      <c r="D35" s="154">
        <f t="shared" ref="D35:L35" si="6">D34+D27-D28+D29</f>
        <v>-182527.4188189886</v>
      </c>
      <c r="E35" s="154">
        <f t="shared" si="6"/>
        <v>-132869.91619046565</v>
      </c>
      <c r="F35" s="154">
        <f t="shared" si="6"/>
        <v>-58671.16900790167</v>
      </c>
      <c r="G35" s="191">
        <f t="shared" si="6"/>
        <v>-14245.849999999999</v>
      </c>
      <c r="H35" s="154">
        <f t="shared" si="6"/>
        <v>14420.319784238134</v>
      </c>
      <c r="I35" s="154">
        <f t="shared" si="6"/>
        <v>10352.458705669551</v>
      </c>
      <c r="J35" s="154">
        <f t="shared" si="6"/>
        <v>27329.331378258892</v>
      </c>
      <c r="K35" s="154">
        <f t="shared" si="6"/>
        <v>41629.84260598031</v>
      </c>
      <c r="L35" s="154">
        <f t="shared" si="6"/>
        <v>54334.627403617545</v>
      </c>
    </row>
  </sheetData>
  <mergeCells count="9">
    <mergeCell ref="C32:L32"/>
    <mergeCell ref="C2:G2"/>
    <mergeCell ref="H2:L2"/>
    <mergeCell ref="S2:Z2"/>
    <mergeCell ref="AA2:AC2"/>
    <mergeCell ref="C4:L4"/>
    <mergeCell ref="S4:AC4"/>
    <mergeCell ref="C20:L20"/>
    <mergeCell ref="C25:L2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8B664-FE8A-754A-A3CB-9674D11D3F9A}">
  <sheetPr>
    <tabColor theme="6" tint="0.59999389629810485"/>
  </sheetPr>
  <dimension ref="B13"/>
  <sheetViews>
    <sheetView workbookViewId="0">
      <selection activeCell="B13" sqref="B13"/>
    </sheetView>
  </sheetViews>
  <sheetFormatPr baseColWidth="10" defaultRowHeight="16" x14ac:dyDescent="0.2"/>
  <cols>
    <col min="1" max="16384" width="10.83203125" style="1"/>
  </cols>
  <sheetData>
    <row r="13" spans="2:2" s="141" customFormat="1" ht="49" x14ac:dyDescent="0.2">
      <c r="B13" s="140" t="s">
        <v>314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A1F36-B8B2-114D-9A3A-6308A1AB18C5}">
  <dimension ref="A1:C21"/>
  <sheetViews>
    <sheetView zoomScale="187" zoomScaleNormal="100" workbookViewId="0">
      <selection activeCell="B21" sqref="B21:C21"/>
    </sheetView>
  </sheetViews>
  <sheetFormatPr baseColWidth="10" defaultRowHeight="16" x14ac:dyDescent="0.2"/>
  <cols>
    <col min="1" max="1" width="2" style="143" customWidth="1"/>
    <col min="2" max="2" width="34.6640625" style="1" customWidth="1"/>
    <col min="3" max="3" width="11.6640625" style="1" bestFit="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 s="143" customFormat="1" ht="18" customHeight="1" x14ac:dyDescent="0.2">
      <c r="A1" s="141"/>
      <c r="B1" s="142" t="s">
        <v>315</v>
      </c>
    </row>
    <row r="2" spans="1:3" s="143" customFormat="1" ht="18" customHeight="1" x14ac:dyDescent="0.2">
      <c r="A2" s="141"/>
      <c r="B2" s="142"/>
    </row>
    <row r="3" spans="1:3" ht="17" customHeight="1" x14ac:dyDescent="0.2"/>
    <row r="4" spans="1:3" ht="17" customHeight="1" x14ac:dyDescent="0.2">
      <c r="B4" s="233" t="s">
        <v>316</v>
      </c>
      <c r="C4" s="233"/>
    </row>
    <row r="5" spans="1:3" ht="17" customHeight="1" x14ac:dyDescent="0.2">
      <c r="B5" s="1" t="s">
        <v>317</v>
      </c>
      <c r="C5" s="177">
        <f>'Statement Q'!N147</f>
        <v>60763</v>
      </c>
    </row>
    <row r="6" spans="1:3" ht="17" customHeight="1" x14ac:dyDescent="0.2">
      <c r="B6" s="1" t="s">
        <v>73</v>
      </c>
      <c r="C6" s="196">
        <f>[1]Sheet1!$C$7</f>
        <v>9.0500000000000007</v>
      </c>
    </row>
    <row r="7" spans="1:3" ht="17" customHeight="1" x14ac:dyDescent="0.2">
      <c r="B7" s="1" t="s">
        <v>318</v>
      </c>
      <c r="C7" s="197">
        <f>C5*C6</f>
        <v>549905.15</v>
      </c>
    </row>
    <row r="8" spans="1:3" ht="17" customHeight="1" x14ac:dyDescent="0.2">
      <c r="B8" s="1" t="s">
        <v>319</v>
      </c>
      <c r="C8" s="177">
        <f>'Statement Q'!N181</f>
        <v>102449</v>
      </c>
    </row>
    <row r="9" spans="1:3" ht="17" customHeight="1" x14ac:dyDescent="0.2">
      <c r="B9" s="1" t="s">
        <v>320</v>
      </c>
      <c r="C9" s="198">
        <f>[1]Sheet1!$C$10/1000</f>
        <v>4.5420000000000002E-2</v>
      </c>
    </row>
    <row r="10" spans="1:3" ht="17" customHeight="1" x14ac:dyDescent="0.2">
      <c r="B10" s="1" t="s">
        <v>321</v>
      </c>
      <c r="C10" s="196">
        <f>[1]Sheet1!$F$7</f>
        <v>0.88770000000000004</v>
      </c>
    </row>
    <row r="11" spans="1:3" ht="17" customHeight="1" x14ac:dyDescent="0.2">
      <c r="B11" s="1" t="s">
        <v>322</v>
      </c>
      <c r="C11" s="110">
        <v>0.05</v>
      </c>
    </row>
    <row r="12" spans="1:3" ht="17" customHeight="1" x14ac:dyDescent="0.2">
      <c r="B12" s="1" t="s">
        <v>92</v>
      </c>
      <c r="C12" s="110">
        <v>0.21</v>
      </c>
    </row>
    <row r="13" spans="1:3" ht="17" customHeight="1" x14ac:dyDescent="0.2">
      <c r="B13" s="1" t="s">
        <v>323</v>
      </c>
      <c r="C13" s="198">
        <f>Overview!C5</f>
        <v>7.8E-2</v>
      </c>
    </row>
    <row r="14" spans="1:3" ht="17" customHeight="1" x14ac:dyDescent="0.2"/>
    <row r="15" spans="1:3" ht="17" customHeight="1" x14ac:dyDescent="0.2">
      <c r="B15" s="233" t="s">
        <v>324</v>
      </c>
      <c r="C15" s="233"/>
    </row>
    <row r="16" spans="1:3" ht="17" customHeight="1" x14ac:dyDescent="0.2">
      <c r="B16" s="1" t="s">
        <v>325</v>
      </c>
      <c r="C16" s="97">
        <f>C8/(C8+C7)</f>
        <v>0.15704506516897301</v>
      </c>
    </row>
    <row r="17" spans="2:3" ht="17" customHeight="1" x14ac:dyDescent="0.2">
      <c r="B17" s="1" t="s">
        <v>326</v>
      </c>
      <c r="C17" s="97">
        <f>C7/(C8+C7)</f>
        <v>0.84295493483102701</v>
      </c>
    </row>
    <row r="18" spans="2:3" ht="17" customHeight="1" x14ac:dyDescent="0.2">
      <c r="B18" s="1" t="s">
        <v>327</v>
      </c>
      <c r="C18" s="97">
        <f>C13*(1-C12)</f>
        <v>6.1620000000000001E-2</v>
      </c>
    </row>
    <row r="19" spans="2:3" ht="17" customHeight="1" x14ac:dyDescent="0.2">
      <c r="B19" s="1" t="s">
        <v>328</v>
      </c>
      <c r="C19" s="97">
        <f>C9+C10*C11</f>
        <v>8.980500000000001E-2</v>
      </c>
    </row>
    <row r="20" spans="2:3" ht="17" customHeight="1" x14ac:dyDescent="0.2">
      <c r="B20" s="1" t="s">
        <v>315</v>
      </c>
      <c r="C20" s="97">
        <f>(C17*C19)+(C16*C18)</f>
        <v>8.537868483821251E-2</v>
      </c>
    </row>
    <row r="21" spans="2:3" ht="17" customHeight="1" x14ac:dyDescent="0.2">
      <c r="B21" s="1" t="s">
        <v>329</v>
      </c>
      <c r="C21" s="110">
        <v>0.1</v>
      </c>
    </row>
  </sheetData>
  <mergeCells count="2">
    <mergeCell ref="B4:C4"/>
    <mergeCell ref="B15:C15"/>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066F7-3E39-9A4B-9BC0-0226AD3CA7A7}">
  <dimension ref="A1:AB26"/>
  <sheetViews>
    <sheetView zoomScale="188" zoomScaleNormal="100" workbookViewId="0">
      <selection activeCell="C6" sqref="C6:L6"/>
    </sheetView>
  </sheetViews>
  <sheetFormatPr baseColWidth="10" defaultRowHeight="16" x14ac:dyDescent="0.2"/>
  <cols>
    <col min="1" max="1" width="2" style="14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143" customFormat="1" ht="18" customHeight="1" x14ac:dyDescent="0.2">
      <c r="A1" s="141"/>
      <c r="B1" s="142" t="s">
        <v>330</v>
      </c>
    </row>
    <row r="2" spans="1:28" s="143" customFormat="1" ht="18" customHeight="1" x14ac:dyDescent="0.2">
      <c r="A2" s="141"/>
      <c r="B2" s="142"/>
    </row>
    <row r="3" spans="1:28" x14ac:dyDescent="0.2">
      <c r="A3" s="141"/>
      <c r="C3" s="233" t="s">
        <v>112</v>
      </c>
      <c r="D3" s="233"/>
      <c r="E3" s="233"/>
      <c r="F3" s="233"/>
      <c r="G3" s="234"/>
      <c r="H3" s="235" t="s">
        <v>113</v>
      </c>
      <c r="I3" s="233"/>
      <c r="J3" s="233"/>
      <c r="K3" s="233"/>
      <c r="L3" s="233"/>
      <c r="P3" s="239"/>
      <c r="Q3" s="239"/>
      <c r="R3" s="239"/>
      <c r="S3" s="239"/>
      <c r="T3" s="239"/>
      <c r="U3" s="239"/>
      <c r="V3" s="239"/>
      <c r="W3" s="239"/>
      <c r="X3" s="239"/>
      <c r="Y3" s="239"/>
      <c r="Z3" s="239"/>
      <c r="AB3" s="174"/>
    </row>
    <row r="4" spans="1:28" ht="10" customHeight="1" x14ac:dyDescent="0.2"/>
    <row r="5" spans="1:28" ht="16" customHeight="1" x14ac:dyDescent="0.2">
      <c r="A5" s="146"/>
      <c r="B5" s="93"/>
      <c r="C5" s="230" t="s">
        <v>331</v>
      </c>
      <c r="D5" s="230"/>
      <c r="E5" s="230"/>
      <c r="F5" s="230"/>
      <c r="G5" s="230"/>
      <c r="H5" s="230"/>
      <c r="I5" s="230"/>
      <c r="J5" s="230"/>
      <c r="K5" s="230"/>
      <c r="L5" s="230"/>
      <c r="P5" s="239"/>
      <c r="Q5" s="239"/>
      <c r="R5" s="239"/>
      <c r="S5" s="239"/>
      <c r="T5" s="239"/>
      <c r="U5" s="239"/>
      <c r="V5" s="239"/>
      <c r="W5" s="239"/>
      <c r="X5" s="239"/>
      <c r="Y5" s="239"/>
      <c r="Z5" s="239"/>
      <c r="AB5" s="175"/>
    </row>
    <row r="6" spans="1:28" x14ac:dyDescent="0.2">
      <c r="B6" s="7" t="s">
        <v>286</v>
      </c>
      <c r="C6" s="64">
        <f>Revenue!C5</f>
        <v>2022</v>
      </c>
      <c r="D6" s="64">
        <f>Revenue!D5</f>
        <v>2023</v>
      </c>
      <c r="E6" s="64">
        <f>Revenue!E5</f>
        <v>2024</v>
      </c>
      <c r="F6" s="64">
        <f>Revenue!F5</f>
        <v>2025</v>
      </c>
      <c r="G6" s="64">
        <f>Revenue!G5</f>
        <v>2026</v>
      </c>
      <c r="H6" s="64">
        <f>Revenue!H5</f>
        <v>2027</v>
      </c>
      <c r="I6" s="64">
        <f>Revenue!I5</f>
        <v>2028</v>
      </c>
      <c r="J6" s="64">
        <f>Revenue!J5</f>
        <v>2029</v>
      </c>
      <c r="K6" s="64">
        <f>Revenue!K5</f>
        <v>2030</v>
      </c>
      <c r="L6" s="64">
        <f>Revenue!L5</f>
        <v>2031</v>
      </c>
      <c r="O6" s="7"/>
      <c r="P6" s="176"/>
      <c r="Q6" s="176"/>
      <c r="R6" s="176"/>
      <c r="S6" s="176"/>
      <c r="T6" s="176"/>
      <c r="U6" s="176"/>
      <c r="V6" s="176"/>
      <c r="W6" s="176"/>
      <c r="X6" s="176"/>
      <c r="Y6" s="176"/>
      <c r="Z6" s="176"/>
      <c r="AB6" s="175"/>
    </row>
    <row r="7" spans="1:28" x14ac:dyDescent="0.2">
      <c r="B7" s="8" t="s">
        <v>313</v>
      </c>
      <c r="C7" s="177">
        <f>'FCF &amp; Other'!C35</f>
        <v>-145644.79948677309</v>
      </c>
      <c r="D7" s="177">
        <f>'FCF &amp; Other'!D35</f>
        <v>-182527.4188189886</v>
      </c>
      <c r="E7" s="177">
        <f>'FCF &amp; Other'!E35</f>
        <v>-132869.91619046565</v>
      </c>
      <c r="F7" s="177">
        <f>'FCF &amp; Other'!F35</f>
        <v>-58671.16900790167</v>
      </c>
      <c r="G7" s="178">
        <f>'FCF &amp; Other'!G35</f>
        <v>-14245.849999999999</v>
      </c>
      <c r="H7" s="177">
        <f>'FCF &amp; Other'!H35</f>
        <v>14420.319784238134</v>
      </c>
      <c r="I7" s="177">
        <f>'FCF &amp; Other'!I35</f>
        <v>10352.458705669551</v>
      </c>
      <c r="J7" s="177">
        <f>'FCF &amp; Other'!J35</f>
        <v>27329.331378258892</v>
      </c>
      <c r="K7" s="177">
        <f>'FCF &amp; Other'!K35</f>
        <v>41629.84260598031</v>
      </c>
      <c r="L7" s="177">
        <f>'FCF &amp; Other'!L35</f>
        <v>54334.627403617545</v>
      </c>
      <c r="N7" s="92"/>
      <c r="O7" s="7"/>
      <c r="P7" s="152"/>
      <c r="Q7" s="152"/>
      <c r="R7" s="152"/>
      <c r="S7" s="152"/>
      <c r="T7" s="152"/>
      <c r="U7" s="152"/>
      <c r="V7" s="152"/>
      <c r="W7" s="152"/>
      <c r="X7" s="154"/>
      <c r="Y7" s="154"/>
      <c r="Z7" s="154"/>
      <c r="AB7" s="154"/>
    </row>
    <row r="8" spans="1:28" x14ac:dyDescent="0.2">
      <c r="B8" s="8" t="s">
        <v>332</v>
      </c>
      <c r="C8" s="120">
        <v>0</v>
      </c>
      <c r="D8" s="120">
        <v>0</v>
      </c>
      <c r="E8" s="120">
        <v>0</v>
      </c>
      <c r="F8" s="120">
        <v>0</v>
      </c>
      <c r="G8" s="195">
        <v>0</v>
      </c>
      <c r="H8" s="120">
        <v>0</v>
      </c>
      <c r="I8" s="120">
        <v>0</v>
      </c>
      <c r="J8" s="120">
        <v>0</v>
      </c>
      <c r="K8" s="120">
        <v>0</v>
      </c>
      <c r="L8" s="120">
        <f>L7*(1+C14)/(C15-C14)</f>
        <v>847697.07571874047</v>
      </c>
      <c r="N8" s="92"/>
      <c r="O8" s="7"/>
      <c r="P8" s="152"/>
      <c r="Q8" s="152"/>
      <c r="R8" s="152"/>
      <c r="S8" s="152"/>
      <c r="T8" s="152"/>
      <c r="U8" s="152"/>
      <c r="V8" s="152"/>
      <c r="W8" s="152"/>
      <c r="X8" s="154"/>
      <c r="Y8" s="154"/>
      <c r="Z8" s="154"/>
      <c r="AB8" s="154"/>
    </row>
    <row r="9" spans="1:28" x14ac:dyDescent="0.2">
      <c r="B9" s="1" t="s">
        <v>333</v>
      </c>
      <c r="C9" s="199"/>
      <c r="D9" s="199"/>
      <c r="E9" s="199"/>
      <c r="F9" s="199"/>
      <c r="G9" s="200"/>
      <c r="H9" s="36">
        <v>1</v>
      </c>
      <c r="I9" s="36">
        <v>2</v>
      </c>
      <c r="J9" s="36">
        <v>3</v>
      </c>
      <c r="K9" s="36">
        <v>4</v>
      </c>
      <c r="L9" s="36">
        <v>5</v>
      </c>
      <c r="N9" s="92"/>
    </row>
    <row r="10" spans="1:28" x14ac:dyDescent="0.2">
      <c r="B10" s="1" t="s">
        <v>334</v>
      </c>
      <c r="C10" s="199"/>
      <c r="D10" s="199"/>
      <c r="E10" s="199"/>
      <c r="F10" s="199"/>
      <c r="G10" s="200"/>
      <c r="H10" s="120">
        <f>H7/(1+$C$15)^H9</f>
        <v>13285.980262628465</v>
      </c>
      <c r="I10" s="120">
        <f t="shared" ref="I10:L10" si="0">I7/(1+$C$15)^I9</f>
        <v>8787.8154918379751</v>
      </c>
      <c r="J10" s="120">
        <f t="shared" si="0"/>
        <v>21373.967332690594</v>
      </c>
      <c r="K10" s="120">
        <f t="shared" si="0"/>
        <v>29997.123774454118</v>
      </c>
      <c r="L10" s="120">
        <f t="shared" si="0"/>
        <v>36072.002382983352</v>
      </c>
      <c r="N10" s="92"/>
    </row>
    <row r="11" spans="1:28" x14ac:dyDescent="0.2">
      <c r="B11" s="1" t="s">
        <v>335</v>
      </c>
      <c r="C11" s="199"/>
      <c r="D11" s="199"/>
      <c r="E11" s="199"/>
      <c r="F11" s="199"/>
      <c r="G11" s="200"/>
      <c r="H11" s="199"/>
      <c r="I11" s="199"/>
      <c r="J11" s="199"/>
      <c r="K11" s="199"/>
      <c r="L11" s="120">
        <f>L8/(1+C15)^L9</f>
        <v>562774.28219446237</v>
      </c>
    </row>
    <row r="13" spans="1:28" x14ac:dyDescent="0.2">
      <c r="B13" s="233" t="s">
        <v>336</v>
      </c>
      <c r="C13" s="233"/>
    </row>
    <row r="14" spans="1:28" x14ac:dyDescent="0.2">
      <c r="B14" s="1" t="s">
        <v>337</v>
      </c>
      <c r="C14" s="201">
        <v>0.02</v>
      </c>
    </row>
    <row r="15" spans="1:28" x14ac:dyDescent="0.2">
      <c r="B15" s="1" t="s">
        <v>315</v>
      </c>
      <c r="C15" s="138">
        <f>WACC!C20</f>
        <v>8.537868483821251E-2</v>
      </c>
    </row>
    <row r="18" spans="2:3" x14ac:dyDescent="0.2">
      <c r="B18" s="233" t="s">
        <v>79</v>
      </c>
      <c r="C18" s="233"/>
    </row>
    <row r="19" spans="2:3" x14ac:dyDescent="0.2">
      <c r="B19" s="1" t="s">
        <v>338</v>
      </c>
      <c r="C19" s="150">
        <f>SUM(H10:L10)</f>
        <v>109516.88924459449</v>
      </c>
    </row>
    <row r="20" spans="2:3" x14ac:dyDescent="0.2">
      <c r="B20" s="1" t="s">
        <v>335</v>
      </c>
      <c r="C20" s="150">
        <f>L11</f>
        <v>562774.28219446237</v>
      </c>
    </row>
    <row r="21" spans="2:3" x14ac:dyDescent="0.2">
      <c r="B21" s="7" t="s">
        <v>339</v>
      </c>
      <c r="C21" s="154">
        <f>C19+C20</f>
        <v>672291.17143905687</v>
      </c>
    </row>
    <row r="22" spans="2:3" x14ac:dyDescent="0.2">
      <c r="B22" s="1" t="s">
        <v>340</v>
      </c>
      <c r="C22" s="20">
        <f>'Statement Q'!N182</f>
        <v>73830</v>
      </c>
    </row>
    <row r="23" spans="2:3" x14ac:dyDescent="0.2">
      <c r="B23" s="1" t="s">
        <v>341</v>
      </c>
      <c r="C23" s="20">
        <f>'Statement Q'!N181</f>
        <v>102449</v>
      </c>
    </row>
    <row r="24" spans="2:3" x14ac:dyDescent="0.2">
      <c r="B24" s="7" t="s">
        <v>342</v>
      </c>
      <c r="C24" s="154">
        <f>C21+C22-C23</f>
        <v>643672.17143905687</v>
      </c>
    </row>
    <row r="25" spans="2:3" x14ac:dyDescent="0.2">
      <c r="B25" s="1" t="s">
        <v>4</v>
      </c>
      <c r="C25" s="150">
        <f>'Statement Q'!N147</f>
        <v>60763</v>
      </c>
    </row>
    <row r="26" spans="2:3" x14ac:dyDescent="0.2">
      <c r="B26" s="202" t="s">
        <v>343</v>
      </c>
      <c r="C26" s="203">
        <f>C24/C25</f>
        <v>10.5931598413353</v>
      </c>
    </row>
  </sheetData>
  <mergeCells count="8">
    <mergeCell ref="X3:Z3"/>
    <mergeCell ref="C5:L5"/>
    <mergeCell ref="P5:Z5"/>
    <mergeCell ref="B13:C13"/>
    <mergeCell ref="B18:C18"/>
    <mergeCell ref="C3:G3"/>
    <mergeCell ref="H3:L3"/>
    <mergeCell ref="P3:W3"/>
  </mergeCells>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37778-A5E8-1043-9293-673CDB56568C}">
  <dimension ref="A1:N61"/>
  <sheetViews>
    <sheetView zoomScale="192" zoomScaleNormal="100" workbookViewId="0">
      <selection activeCell="C57" sqref="C57"/>
    </sheetView>
  </sheetViews>
  <sheetFormatPr baseColWidth="10" defaultRowHeight="16" x14ac:dyDescent="0.2"/>
  <cols>
    <col min="1" max="1" width="2" style="14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143" customFormat="1" ht="18" customHeight="1" x14ac:dyDescent="0.2">
      <c r="A1" s="141"/>
      <c r="B1" s="142" t="s">
        <v>344</v>
      </c>
    </row>
    <row r="2" spans="1:14" x14ac:dyDescent="0.2">
      <c r="A2" s="141"/>
      <c r="C2" s="233" t="s">
        <v>112</v>
      </c>
      <c r="D2" s="233"/>
      <c r="E2" s="233"/>
      <c r="F2" s="233"/>
      <c r="G2" s="234"/>
      <c r="H2" s="235" t="s">
        <v>113</v>
      </c>
      <c r="I2" s="233"/>
      <c r="J2" s="233"/>
      <c r="K2" s="233"/>
      <c r="L2" s="233"/>
    </row>
    <row r="3" spans="1:14" ht="10" customHeight="1" x14ac:dyDescent="0.2"/>
    <row r="4" spans="1:14" ht="16" customHeight="1" x14ac:dyDescent="0.2">
      <c r="A4" s="146"/>
      <c r="B4" s="93"/>
      <c r="C4" s="230" t="s">
        <v>345</v>
      </c>
      <c r="D4" s="230"/>
      <c r="E4" s="230"/>
      <c r="F4" s="230"/>
      <c r="G4" s="230"/>
      <c r="H4" s="230"/>
      <c r="I4" s="230"/>
      <c r="J4" s="230"/>
      <c r="K4" s="230"/>
      <c r="L4" s="230"/>
    </row>
    <row r="5" spans="1:14" x14ac:dyDescent="0.2">
      <c r="B5" s="7" t="s">
        <v>268</v>
      </c>
      <c r="C5" s="64">
        <f>Revenue!C5</f>
        <v>2022</v>
      </c>
      <c r="D5" s="64">
        <f>Revenue!D5</f>
        <v>2023</v>
      </c>
      <c r="E5" s="64">
        <f>Revenue!E5</f>
        <v>2024</v>
      </c>
      <c r="F5" s="64">
        <f>Revenue!F5</f>
        <v>2025</v>
      </c>
      <c r="G5" s="64">
        <f>Revenue!G5</f>
        <v>2026</v>
      </c>
      <c r="H5" s="64">
        <f>Revenue!H5</f>
        <v>2027</v>
      </c>
      <c r="I5" s="64">
        <f>Revenue!I5</f>
        <v>2028</v>
      </c>
      <c r="J5" s="64">
        <f>Revenue!J5</f>
        <v>2029</v>
      </c>
      <c r="K5" s="64">
        <f>Revenue!K5</f>
        <v>2030</v>
      </c>
      <c r="L5" s="64">
        <f>Revenue!L5</f>
        <v>2031</v>
      </c>
    </row>
    <row r="6" spans="1:14" x14ac:dyDescent="0.2">
      <c r="B6" s="7" t="s">
        <v>6</v>
      </c>
      <c r="C6" s="152">
        <f>Revenue!C9</f>
        <v>213233</v>
      </c>
      <c r="D6" s="152">
        <f>Revenue!D9</f>
        <v>280910</v>
      </c>
      <c r="E6" s="152">
        <f>Revenue!E9</f>
        <v>356299</v>
      </c>
      <c r="F6" s="152">
        <f>Revenue!F9</f>
        <v>419813</v>
      </c>
      <c r="G6" s="153">
        <f>Revenue!G9</f>
        <v>480591</v>
      </c>
      <c r="H6" s="152">
        <f>Revenue!H9</f>
        <v>512003.95319162495</v>
      </c>
      <c r="I6" s="152">
        <f>Revenue!I9</f>
        <v>544078.91490638629</v>
      </c>
      <c r="J6" s="152">
        <f>Revenue!J9</f>
        <v>591204.36583610985</v>
      </c>
      <c r="K6" s="152">
        <f>Revenue!K9</f>
        <v>670128.09104058379</v>
      </c>
      <c r="L6" s="152">
        <f>Revenue!L9</f>
        <v>786430.37228098325</v>
      </c>
      <c r="N6" s="92"/>
    </row>
    <row r="7" spans="1:14" x14ac:dyDescent="0.2">
      <c r="B7" s="7" t="s">
        <v>308</v>
      </c>
      <c r="C7" s="152">
        <f>'FCF &amp; Other'!C17</f>
        <v>-117752.45000000001</v>
      </c>
      <c r="D7" s="152">
        <f>'FCF &amp; Other'!D17</f>
        <v>-178256.55</v>
      </c>
      <c r="E7" s="152">
        <f>'FCF &amp; Other'!E17</f>
        <v>-137186.95000000001</v>
      </c>
      <c r="F7" s="152">
        <f>'FCF &amp; Other'!F17</f>
        <v>-58838.5</v>
      </c>
      <c r="G7" s="153">
        <f>'FCF &amp; Other'!G17</f>
        <v>-7211.85</v>
      </c>
      <c r="H7" s="152">
        <f>'FCF &amp; Other'!H17</f>
        <v>610.85395319168458</v>
      </c>
      <c r="I7" s="152">
        <f>'FCF &amp; Other'!I17</f>
        <v>1691.7117447190917</v>
      </c>
      <c r="J7" s="152">
        <f>'FCF &amp; Other'!J17</f>
        <v>26626.096462624999</v>
      </c>
      <c r="K7" s="152">
        <f>'FCF &amp; Other'!K17</f>
        <v>56290.759647409082</v>
      </c>
      <c r="L7" s="152">
        <f>'FCF &amp; Other'!L17</f>
        <v>79429.467600379314</v>
      </c>
      <c r="N7" s="92"/>
    </row>
    <row r="8" spans="1:14" x14ac:dyDescent="0.2">
      <c r="B8" s="7" t="s">
        <v>313</v>
      </c>
      <c r="C8" s="152">
        <f>'FCF &amp; Other'!C35</f>
        <v>-145644.79948677309</v>
      </c>
      <c r="D8" s="152">
        <f>'FCF &amp; Other'!D35</f>
        <v>-182527.4188189886</v>
      </c>
      <c r="E8" s="152">
        <f>'FCF &amp; Other'!E35</f>
        <v>-132869.91619046565</v>
      </c>
      <c r="F8" s="152">
        <f>'FCF &amp; Other'!F35</f>
        <v>-58671.16900790167</v>
      </c>
      <c r="G8" s="153">
        <f>'FCF &amp; Other'!G35</f>
        <v>-14245.849999999999</v>
      </c>
      <c r="H8" s="152">
        <f>'FCF &amp; Other'!H35</f>
        <v>14420.319784238134</v>
      </c>
      <c r="I8" s="152">
        <f>'FCF &amp; Other'!I35</f>
        <v>10352.458705669551</v>
      </c>
      <c r="J8" s="152">
        <f>'FCF &amp; Other'!J35</f>
        <v>27329.331378258892</v>
      </c>
      <c r="K8" s="152">
        <f>'FCF &amp; Other'!K35</f>
        <v>41629.84260598031</v>
      </c>
      <c r="L8" s="152">
        <f>'FCF &amp; Other'!L35</f>
        <v>54334.627403617545</v>
      </c>
      <c r="N8" s="92"/>
    </row>
    <row r="9" spans="1:14" x14ac:dyDescent="0.2">
      <c r="N9" s="92"/>
    </row>
    <row r="10" spans="1:14" x14ac:dyDescent="0.2">
      <c r="C10" s="230" t="s">
        <v>210</v>
      </c>
      <c r="D10" s="230"/>
      <c r="E10" s="230"/>
      <c r="F10" s="230"/>
      <c r="G10" s="230"/>
      <c r="H10" s="230"/>
      <c r="I10" s="230"/>
      <c r="J10" s="230"/>
      <c r="K10" s="230"/>
      <c r="L10" s="230"/>
      <c r="N10" s="92"/>
    </row>
    <row r="11" spans="1:14" x14ac:dyDescent="0.2">
      <c r="B11" s="7" t="s">
        <v>346</v>
      </c>
      <c r="C11" s="64">
        <f>C5</f>
        <v>2022</v>
      </c>
      <c r="D11" s="64">
        <f t="shared" ref="D11:L11" si="0">D5</f>
        <v>2023</v>
      </c>
      <c r="E11" s="64">
        <f t="shared" si="0"/>
        <v>2024</v>
      </c>
      <c r="F11" s="64">
        <f t="shared" si="0"/>
        <v>2025</v>
      </c>
      <c r="G11" s="64">
        <f t="shared" si="0"/>
        <v>2026</v>
      </c>
      <c r="H11" s="64">
        <f t="shared" si="0"/>
        <v>2027</v>
      </c>
      <c r="I11" s="64">
        <f t="shared" si="0"/>
        <v>2028</v>
      </c>
      <c r="J11" s="64">
        <f t="shared" si="0"/>
        <v>2029</v>
      </c>
      <c r="K11" s="64">
        <f t="shared" si="0"/>
        <v>2030</v>
      </c>
      <c r="L11" s="64">
        <f t="shared" si="0"/>
        <v>2031</v>
      </c>
      <c r="N11" s="92"/>
    </row>
    <row r="12" spans="1:14" x14ac:dyDescent="0.2">
      <c r="B12" s="1" t="s">
        <v>6</v>
      </c>
      <c r="C12" s="199"/>
      <c r="D12" s="108">
        <f>(D6-C6)/C6</f>
        <v>0.31738520773051077</v>
      </c>
      <c r="E12" s="108">
        <f t="shared" ref="E12:L14" si="1">(E6-D6)/D6</f>
        <v>0.26837421238118969</v>
      </c>
      <c r="F12" s="108">
        <f t="shared" si="1"/>
        <v>0.17826039365813545</v>
      </c>
      <c r="G12" s="156">
        <f t="shared" si="1"/>
        <v>0.14477398270182201</v>
      </c>
      <c r="H12" s="108">
        <f t="shared" si="1"/>
        <v>6.5363174074472799E-2</v>
      </c>
      <c r="I12" s="108">
        <f t="shared" si="1"/>
        <v>6.2645925905100985E-2</v>
      </c>
      <c r="J12" s="108">
        <f t="shared" si="1"/>
        <v>8.6615102402620991E-2</v>
      </c>
      <c r="K12" s="108">
        <f t="shared" si="1"/>
        <v>0.13349651958820735</v>
      </c>
      <c r="L12" s="108">
        <f t="shared" si="1"/>
        <v>0.17355231454303569</v>
      </c>
      <c r="N12" s="92"/>
    </row>
    <row r="13" spans="1:14" x14ac:dyDescent="0.2">
      <c r="B13" s="1" t="s">
        <v>308</v>
      </c>
      <c r="C13" s="199"/>
      <c r="D13" s="108">
        <f t="shared" ref="D13:D14" si="2">(D7-C7)/C7</f>
        <v>0.51382455311970132</v>
      </c>
      <c r="E13" s="108">
        <f t="shared" si="1"/>
        <v>-0.23039602191336014</v>
      </c>
      <c r="F13" s="108">
        <f t="shared" si="1"/>
        <v>-0.57110716434762931</v>
      </c>
      <c r="G13" s="156">
        <f t="shared" si="1"/>
        <v>-0.87742974413011887</v>
      </c>
      <c r="H13" s="108">
        <f t="shared" si="1"/>
        <v>-1.0847014224077989</v>
      </c>
      <c r="I13" s="108">
        <f t="shared" si="1"/>
        <v>1.7694209653223552</v>
      </c>
      <c r="J13" s="108">
        <f t="shared" si="1"/>
        <v>14.73914500844602</v>
      </c>
      <c r="K13" s="108">
        <f t="shared" si="1"/>
        <v>1.1141198720745384</v>
      </c>
      <c r="L13" s="108">
        <f t="shared" si="1"/>
        <v>0.41105694962912526</v>
      </c>
      <c r="N13" s="92"/>
    </row>
    <row r="14" spans="1:14" x14ac:dyDescent="0.2">
      <c r="B14" s="1" t="s">
        <v>313</v>
      </c>
      <c r="C14" s="199"/>
      <c r="D14" s="108">
        <f t="shared" si="2"/>
        <v>0.25323677510067949</v>
      </c>
      <c r="E14" s="108">
        <f t="shared" si="1"/>
        <v>-0.2720550312376247</v>
      </c>
      <c r="F14" s="108">
        <f t="shared" si="1"/>
        <v>-0.55843150436101696</v>
      </c>
      <c r="G14" s="156">
        <f t="shared" si="1"/>
        <v>-0.75719164555795015</v>
      </c>
      <c r="H14" s="108">
        <f t="shared" si="1"/>
        <v>-2.0122470603184883</v>
      </c>
      <c r="I14" s="108">
        <f t="shared" si="1"/>
        <v>-0.28209229333560853</v>
      </c>
      <c r="J14" s="108">
        <f t="shared" si="1"/>
        <v>1.6398879875069596</v>
      </c>
      <c r="K14" s="108">
        <f t="shared" si="1"/>
        <v>0.523266048107485</v>
      </c>
      <c r="L14" s="108">
        <f t="shared" si="1"/>
        <v>0.30518455036897346</v>
      </c>
      <c r="N14" s="92"/>
    </row>
    <row r="15" spans="1:14" x14ac:dyDescent="0.2">
      <c r="N15" s="92"/>
    </row>
    <row r="16" spans="1:14" x14ac:dyDescent="0.2">
      <c r="C16" s="230" t="s">
        <v>347</v>
      </c>
      <c r="D16" s="230"/>
      <c r="E16" s="230"/>
      <c r="F16" s="230"/>
      <c r="G16" s="230"/>
      <c r="H16" s="230"/>
      <c r="I16" s="230"/>
      <c r="J16" s="230"/>
      <c r="K16" s="230"/>
      <c r="L16" s="230"/>
      <c r="N16" s="92"/>
    </row>
    <row r="17" spans="2:14" x14ac:dyDescent="0.2">
      <c r="C17" s="64">
        <f t="shared" ref="C17:L17" si="3">C5</f>
        <v>2022</v>
      </c>
      <c r="D17" s="64">
        <f t="shared" si="3"/>
        <v>2023</v>
      </c>
      <c r="E17" s="64">
        <f t="shared" si="3"/>
        <v>2024</v>
      </c>
      <c r="F17" s="64">
        <f t="shared" si="3"/>
        <v>2025</v>
      </c>
      <c r="G17" s="64">
        <f t="shared" si="3"/>
        <v>2026</v>
      </c>
      <c r="H17" s="64">
        <f t="shared" si="3"/>
        <v>2027</v>
      </c>
      <c r="I17" s="64">
        <f t="shared" si="3"/>
        <v>2028</v>
      </c>
      <c r="J17" s="64">
        <f t="shared" si="3"/>
        <v>2029</v>
      </c>
      <c r="K17" s="64">
        <f t="shared" si="3"/>
        <v>2030</v>
      </c>
      <c r="L17" s="64">
        <f t="shared" si="3"/>
        <v>2031</v>
      </c>
      <c r="N17" s="92"/>
    </row>
    <row r="18" spans="2:14" x14ac:dyDescent="0.2">
      <c r="B18" s="1" t="s">
        <v>194</v>
      </c>
      <c r="C18" s="95">
        <f>Statements!D22</f>
        <v>49888</v>
      </c>
      <c r="D18" s="95">
        <f>Statements!E22</f>
        <v>52440</v>
      </c>
      <c r="E18" s="95">
        <f>Statements!F22</f>
        <v>54561</v>
      </c>
      <c r="F18" s="95">
        <f>Statements!G22</f>
        <v>57590</v>
      </c>
      <c r="G18" s="204">
        <f>Statements!H22</f>
        <v>61495</v>
      </c>
      <c r="H18" s="104">
        <f>G18*(1+H19)</f>
        <v>66107.125</v>
      </c>
      <c r="I18" s="104">
        <f t="shared" ref="I18:L18" si="4">H18*(1+I19)</f>
        <v>71395.695000000007</v>
      </c>
      <c r="J18" s="104">
        <f t="shared" si="4"/>
        <v>77821.307550000012</v>
      </c>
      <c r="K18" s="104">
        <f t="shared" si="4"/>
        <v>84825.225229500022</v>
      </c>
      <c r="L18" s="104">
        <f t="shared" si="4"/>
        <v>92459.495500155026</v>
      </c>
      <c r="N18" s="92"/>
    </row>
    <row r="19" spans="2:14" x14ac:dyDescent="0.2">
      <c r="B19" s="1" t="s">
        <v>115</v>
      </c>
      <c r="C19" s="199"/>
      <c r="D19" s="205">
        <f>D18/C18-1</f>
        <v>5.115458627325209E-2</v>
      </c>
      <c r="E19" s="205">
        <f t="shared" ref="E19:G19" si="5">E18/D18-1</f>
        <v>4.0446224256292851E-2</v>
      </c>
      <c r="F19" s="205">
        <f t="shared" si="5"/>
        <v>5.5515844650941171E-2</v>
      </c>
      <c r="G19" s="206">
        <f t="shared" si="5"/>
        <v>6.7806910922035168E-2</v>
      </c>
      <c r="H19" s="207">
        <v>7.4999999999999997E-2</v>
      </c>
      <c r="I19" s="109">
        <v>0.08</v>
      </c>
      <c r="J19" s="109">
        <v>0.09</v>
      </c>
      <c r="K19" s="109">
        <v>0.09</v>
      </c>
      <c r="L19" s="109">
        <v>0.09</v>
      </c>
      <c r="N19" s="92"/>
    </row>
    <row r="20" spans="2:14" x14ac:dyDescent="0.2">
      <c r="N20" s="92"/>
    </row>
    <row r="21" spans="2:14" x14ac:dyDescent="0.2">
      <c r="C21" s="230" t="s">
        <v>348</v>
      </c>
      <c r="D21" s="230"/>
      <c r="E21" s="230"/>
      <c r="F21" s="230"/>
      <c r="G21" s="230"/>
      <c r="H21" s="230"/>
      <c r="I21" s="230"/>
      <c r="J21" s="230"/>
      <c r="K21" s="230"/>
      <c r="L21" s="230"/>
      <c r="N21" s="92"/>
    </row>
    <row r="22" spans="2:14" x14ac:dyDescent="0.2">
      <c r="C22" s="64">
        <f>C5</f>
        <v>2022</v>
      </c>
      <c r="D22" s="64">
        <f t="shared" ref="D22:L22" si="6">D5</f>
        <v>2023</v>
      </c>
      <c r="E22" s="64">
        <f t="shared" si="6"/>
        <v>2024</v>
      </c>
      <c r="F22" s="64">
        <f t="shared" si="6"/>
        <v>2025</v>
      </c>
      <c r="G22" s="64">
        <f t="shared" si="6"/>
        <v>2026</v>
      </c>
      <c r="H22" s="64">
        <f t="shared" si="6"/>
        <v>2027</v>
      </c>
      <c r="I22" s="64">
        <f t="shared" si="6"/>
        <v>2028</v>
      </c>
      <c r="J22" s="64">
        <f t="shared" si="6"/>
        <v>2029</v>
      </c>
      <c r="K22" s="64">
        <f t="shared" si="6"/>
        <v>2030</v>
      </c>
      <c r="L22" s="64">
        <f t="shared" si="6"/>
        <v>2031</v>
      </c>
      <c r="N22" s="92"/>
    </row>
    <row r="23" spans="2:14" x14ac:dyDescent="0.2">
      <c r="B23" s="1" t="s">
        <v>73</v>
      </c>
      <c r="C23" s="208">
        <f>'Statement Y'!D194</f>
        <v>28.44</v>
      </c>
      <c r="D23" s="208">
        <f>'Statement Y'!E194</f>
        <v>36.19</v>
      </c>
      <c r="E23" s="208">
        <f>'Statement Y'!F194</f>
        <v>25.61</v>
      </c>
      <c r="F23" s="208">
        <f>'Statement Y'!G194</f>
        <v>29</v>
      </c>
      <c r="G23" s="209">
        <f>'Statement Y'!H194</f>
        <v>13.43</v>
      </c>
      <c r="H23" s="199"/>
      <c r="I23" s="199"/>
      <c r="J23" s="199"/>
      <c r="K23" s="199"/>
      <c r="L23" s="199"/>
      <c r="N23" s="92"/>
    </row>
    <row r="24" spans="2:14" x14ac:dyDescent="0.2">
      <c r="N24" s="92"/>
    </row>
    <row r="25" spans="2:14" x14ac:dyDescent="0.2">
      <c r="N25" s="92"/>
    </row>
    <row r="26" spans="2:14" x14ac:dyDescent="0.2">
      <c r="C26" s="230" t="s">
        <v>349</v>
      </c>
      <c r="D26" s="230"/>
      <c r="E26" s="230"/>
      <c r="F26" s="230"/>
      <c r="G26" s="230"/>
      <c r="H26" s="230"/>
      <c r="I26" s="230"/>
      <c r="J26" s="230"/>
      <c r="K26" s="230"/>
      <c r="L26" s="230"/>
      <c r="N26" s="92"/>
    </row>
    <row r="27" spans="2:14" x14ac:dyDescent="0.2">
      <c r="C27" s="64">
        <f>C5</f>
        <v>2022</v>
      </c>
      <c r="D27" s="64">
        <f t="shared" ref="D27:L27" si="7">D5</f>
        <v>2023</v>
      </c>
      <c r="E27" s="64">
        <f t="shared" si="7"/>
        <v>2024</v>
      </c>
      <c r="F27" s="64">
        <f t="shared" si="7"/>
        <v>2025</v>
      </c>
      <c r="G27" s="64">
        <f t="shared" si="7"/>
        <v>2026</v>
      </c>
      <c r="H27" s="64">
        <f t="shared" si="7"/>
        <v>2027</v>
      </c>
      <c r="I27" s="64">
        <f t="shared" si="7"/>
        <v>2028</v>
      </c>
      <c r="J27" s="64">
        <f t="shared" si="7"/>
        <v>2029</v>
      </c>
      <c r="K27" s="64">
        <f t="shared" si="7"/>
        <v>2030</v>
      </c>
      <c r="L27" s="64">
        <f t="shared" si="7"/>
        <v>2031</v>
      </c>
      <c r="N27" s="92"/>
    </row>
    <row r="28" spans="2:14" x14ac:dyDescent="0.2">
      <c r="B28" s="7" t="s">
        <v>196</v>
      </c>
      <c r="C28" s="210">
        <f>C23/(C6/C18)</f>
        <v>6.6538233763066685</v>
      </c>
      <c r="D28" s="210">
        <f t="shared" ref="D28:G28" si="8">D23/(D6/D18)</f>
        <v>6.7559132818340384</v>
      </c>
      <c r="E28" s="210">
        <f t="shared" si="8"/>
        <v>3.9217264432400873</v>
      </c>
      <c r="F28" s="210">
        <f t="shared" si="8"/>
        <v>3.9782236376672473</v>
      </c>
      <c r="G28" s="211">
        <f t="shared" si="8"/>
        <v>1.7184629966021001</v>
      </c>
      <c r="H28" s="199"/>
      <c r="I28" s="199"/>
      <c r="J28" s="199"/>
      <c r="K28" s="199"/>
      <c r="L28" s="199"/>
      <c r="N28" s="92"/>
    </row>
    <row r="29" spans="2:14" x14ac:dyDescent="0.2">
      <c r="B29" s="1" t="s">
        <v>350</v>
      </c>
      <c r="C29" s="104">
        <f>C23*C18</f>
        <v>1418814.72</v>
      </c>
      <c r="D29" s="104">
        <f t="shared" ref="D29:G29" si="9">D23*D18</f>
        <v>1897803.5999999999</v>
      </c>
      <c r="E29" s="104">
        <f t="shared" si="9"/>
        <v>1397307.21</v>
      </c>
      <c r="F29" s="104">
        <f t="shared" si="9"/>
        <v>1670110</v>
      </c>
      <c r="G29" s="212">
        <f t="shared" si="9"/>
        <v>825877.85</v>
      </c>
      <c r="H29" s="199"/>
      <c r="I29" s="199"/>
      <c r="J29" s="199"/>
      <c r="K29" s="199"/>
      <c r="L29" s="199"/>
      <c r="N29" s="92"/>
    </row>
    <row r="30" spans="2:14" x14ac:dyDescent="0.2">
      <c r="B30" s="1" t="s">
        <v>319</v>
      </c>
      <c r="C30" s="148">
        <f>Statements!D48+Statements!D56</f>
        <v>13244</v>
      </c>
      <c r="D30" s="114">
        <f>Statements!E48+Statements!E56</f>
        <v>7897</v>
      </c>
      <c r="E30" s="114">
        <f>Statements!F48+Statements!F56</f>
        <v>11456</v>
      </c>
      <c r="F30" s="114">
        <f>Statements!G48+Statements!G56</f>
        <v>16193</v>
      </c>
      <c r="G30" s="213">
        <f>Statements!H48+Statements!H56</f>
        <v>100088</v>
      </c>
      <c r="H30" s="199"/>
      <c r="I30" s="199"/>
      <c r="J30" s="199"/>
      <c r="K30" s="199"/>
      <c r="L30" s="199"/>
      <c r="N30" s="92"/>
    </row>
    <row r="31" spans="2:14" x14ac:dyDescent="0.2">
      <c r="B31" s="1" t="s">
        <v>351</v>
      </c>
      <c r="C31" s="114">
        <f>Statements!D26</f>
        <v>313812</v>
      </c>
      <c r="D31" s="114">
        <f>Statements!E26</f>
        <v>176683</v>
      </c>
      <c r="E31" s="114">
        <f>Statements!F26</f>
        <v>87520</v>
      </c>
      <c r="F31" s="114">
        <f>Statements!G26</f>
        <v>84220</v>
      </c>
      <c r="G31" s="213">
        <f>Statements!H26</f>
        <v>73830</v>
      </c>
      <c r="H31" s="199"/>
      <c r="I31" s="199"/>
      <c r="J31" s="199"/>
      <c r="K31" s="199"/>
      <c r="L31" s="199"/>
      <c r="N31" s="92"/>
    </row>
    <row r="32" spans="2:14" x14ac:dyDescent="0.2">
      <c r="B32" s="1" t="s">
        <v>227</v>
      </c>
      <c r="C32" s="104">
        <f>C29+C30-C31</f>
        <v>1118246.72</v>
      </c>
      <c r="D32" s="104">
        <f t="shared" ref="D32:G32" si="10">D29+D30-D31</f>
        <v>1729017.5999999999</v>
      </c>
      <c r="E32" s="104">
        <f t="shared" si="10"/>
        <v>1321243.21</v>
      </c>
      <c r="F32" s="104">
        <f t="shared" si="10"/>
        <v>1602083</v>
      </c>
      <c r="G32" s="212">
        <f t="shared" si="10"/>
        <v>852135.85</v>
      </c>
      <c r="H32" s="199"/>
      <c r="I32" s="199"/>
      <c r="J32" s="199"/>
      <c r="K32" s="199"/>
      <c r="L32" s="199"/>
      <c r="N32" s="92"/>
    </row>
    <row r="33" spans="2:14" x14ac:dyDescent="0.2">
      <c r="B33" s="7" t="s">
        <v>352</v>
      </c>
      <c r="C33" s="210">
        <f>C32/C7</f>
        <v>-9.4965898374089015</v>
      </c>
      <c r="D33" s="210">
        <f t="shared" ref="D33:G33" si="11">D32/D7</f>
        <v>-9.6996020623085091</v>
      </c>
      <c r="E33" s="210">
        <f t="shared" si="11"/>
        <v>-9.6309686161839725</v>
      </c>
      <c r="F33" s="210">
        <f t="shared" si="11"/>
        <v>-27.228481351496043</v>
      </c>
      <c r="G33" s="211">
        <f t="shared" si="11"/>
        <v>-118.15773345258151</v>
      </c>
      <c r="H33" s="199"/>
      <c r="I33" s="199"/>
      <c r="J33" s="199"/>
      <c r="K33" s="199"/>
      <c r="L33" s="199"/>
      <c r="N33" s="92"/>
    </row>
    <row r="34" spans="2:14" x14ac:dyDescent="0.2">
      <c r="B34" s="7" t="s">
        <v>353</v>
      </c>
      <c r="C34" s="210">
        <f>C32/C8</f>
        <v>-7.6779035292746922</v>
      </c>
      <c r="D34" s="210">
        <f t="shared" ref="D34:G34" si="12">D32/D8</f>
        <v>-9.4726458697948104</v>
      </c>
      <c r="E34" s="210">
        <f t="shared" si="12"/>
        <v>-9.9438853269541578</v>
      </c>
      <c r="F34" s="210">
        <f t="shared" si="12"/>
        <v>-27.306137359973789</v>
      </c>
      <c r="G34" s="211">
        <f t="shared" si="12"/>
        <v>-59.81642724021382</v>
      </c>
      <c r="H34" s="199"/>
      <c r="I34" s="199"/>
      <c r="J34" s="199"/>
      <c r="K34" s="199"/>
      <c r="L34" s="199"/>
      <c r="N34" s="92"/>
    </row>
    <row r="35" spans="2:14" x14ac:dyDescent="0.2">
      <c r="N35" s="92"/>
    </row>
    <row r="36" spans="2:14" x14ac:dyDescent="0.2">
      <c r="N36" s="92"/>
    </row>
    <row r="37" spans="2:14" x14ac:dyDescent="0.2">
      <c r="B37" s="233" t="s">
        <v>354</v>
      </c>
      <c r="C37" s="233"/>
      <c r="N37" s="92"/>
    </row>
    <row r="38" spans="2:14" x14ac:dyDescent="0.2">
      <c r="B38" s="1" t="s">
        <v>355</v>
      </c>
      <c r="C38" s="150">
        <f>L7</f>
        <v>79429.467600379314</v>
      </c>
    </row>
    <row r="39" spans="2:14" x14ac:dyDescent="0.2">
      <c r="B39" s="1" t="s">
        <v>315</v>
      </c>
      <c r="C39" s="214">
        <f>WACC!C20</f>
        <v>8.537868483821251E-2</v>
      </c>
    </row>
    <row r="40" spans="2:14" x14ac:dyDescent="0.2">
      <c r="B40" s="8" t="s">
        <v>356</v>
      </c>
      <c r="C40" s="215">
        <v>30</v>
      </c>
    </row>
    <row r="41" spans="2:14" x14ac:dyDescent="0.2">
      <c r="B41" s="1" t="s">
        <v>357</v>
      </c>
      <c r="C41" s="20">
        <f>L18</f>
        <v>92459.495500155026</v>
      </c>
    </row>
    <row r="42" spans="2:14" x14ac:dyDescent="0.2">
      <c r="B42" s="1" t="s">
        <v>227</v>
      </c>
      <c r="C42" s="20">
        <f>(C38*C40)-G30+G31</f>
        <v>2356626.0280113793</v>
      </c>
    </row>
    <row r="43" spans="2:14" x14ac:dyDescent="0.2">
      <c r="B43" s="1" t="s">
        <v>343</v>
      </c>
      <c r="C43" s="20">
        <f>C42/C41</f>
        <v>25.488199078562221</v>
      </c>
    </row>
    <row r="44" spans="2:14" x14ac:dyDescent="0.2">
      <c r="B44" s="202" t="s">
        <v>358</v>
      </c>
      <c r="C44" s="203">
        <f>C43/(1+C48)^5</f>
        <v>16.921260379134157</v>
      </c>
    </row>
    <row r="46" spans="2:14" x14ac:dyDescent="0.2">
      <c r="B46" s="233" t="s">
        <v>116</v>
      </c>
      <c r="C46" s="233"/>
    </row>
    <row r="47" spans="2:14" x14ac:dyDescent="0.2">
      <c r="B47" s="1" t="s">
        <v>359</v>
      </c>
      <c r="C47" s="150">
        <f>L6</f>
        <v>786430.37228098325</v>
      </c>
    </row>
    <row r="48" spans="2:14" x14ac:dyDescent="0.2">
      <c r="B48" s="1" t="s">
        <v>315</v>
      </c>
      <c r="C48" s="214">
        <f>WACC!C20</f>
        <v>8.537868483821251E-2</v>
      </c>
    </row>
    <row r="49" spans="2:3" x14ac:dyDescent="0.2">
      <c r="B49" s="8" t="s">
        <v>117</v>
      </c>
      <c r="C49" s="215">
        <v>3.5</v>
      </c>
    </row>
    <row r="50" spans="2:3" x14ac:dyDescent="0.2">
      <c r="B50" s="1" t="s">
        <v>357</v>
      </c>
      <c r="C50" s="20">
        <f>L18</f>
        <v>92459.495500155026</v>
      </c>
    </row>
    <row r="51" spans="2:3" x14ac:dyDescent="0.2">
      <c r="B51" s="1" t="s">
        <v>343</v>
      </c>
      <c r="C51" s="20">
        <f>(C47*C49)/C50</f>
        <v>29.769860716780855</v>
      </c>
    </row>
    <row r="52" spans="2:3" x14ac:dyDescent="0.2">
      <c r="B52" s="202" t="s">
        <v>358</v>
      </c>
      <c r="C52" s="203">
        <f>C51/(1+C48)^5</f>
        <v>19.763795907530326</v>
      </c>
    </row>
    <row r="54" spans="2:3" x14ac:dyDescent="0.2">
      <c r="B54" s="233" t="s">
        <v>360</v>
      </c>
      <c r="C54" s="233"/>
    </row>
    <row r="55" spans="2:3" x14ac:dyDescent="0.2">
      <c r="B55" s="1" t="s">
        <v>361</v>
      </c>
      <c r="C55" s="150">
        <f>L8</f>
        <v>54334.627403617545</v>
      </c>
    </row>
    <row r="56" spans="2:3" x14ac:dyDescent="0.2">
      <c r="B56" s="1" t="s">
        <v>315</v>
      </c>
      <c r="C56" s="214">
        <f>WACC!C20</f>
        <v>8.537868483821251E-2</v>
      </c>
    </row>
    <row r="57" spans="2:3" x14ac:dyDescent="0.2">
      <c r="B57" s="8" t="s">
        <v>362</v>
      </c>
      <c r="C57" s="215">
        <v>25</v>
      </c>
    </row>
    <row r="58" spans="2:3" x14ac:dyDescent="0.2">
      <c r="B58" s="1" t="s">
        <v>357</v>
      </c>
      <c r="C58" s="20">
        <f>L18</f>
        <v>92459.495500155026</v>
      </c>
    </row>
    <row r="59" spans="2:3" x14ac:dyDescent="0.2">
      <c r="B59" s="1" t="s">
        <v>227</v>
      </c>
      <c r="C59" s="20">
        <f>(C55*C57)-G30+G31</f>
        <v>1332107.6850904387</v>
      </c>
    </row>
    <row r="60" spans="2:3" x14ac:dyDescent="0.2">
      <c r="B60" s="1" t="s">
        <v>343</v>
      </c>
      <c r="C60" s="20">
        <f>C59/C58</f>
        <v>14.407473000847222</v>
      </c>
    </row>
    <row r="61" spans="2:3" x14ac:dyDescent="0.2">
      <c r="B61" s="202" t="s">
        <v>358</v>
      </c>
      <c r="C61" s="203">
        <f>C60/(1+C56)^5</f>
        <v>9.5649206639213613</v>
      </c>
    </row>
  </sheetData>
  <mergeCells count="10">
    <mergeCell ref="C26:L26"/>
    <mergeCell ref="B37:C37"/>
    <mergeCell ref="B46:C46"/>
    <mergeCell ref="B54:C54"/>
    <mergeCell ref="C2:G2"/>
    <mergeCell ref="H2:L2"/>
    <mergeCell ref="C4:L4"/>
    <mergeCell ref="C10:L10"/>
    <mergeCell ref="C16:L16"/>
    <mergeCell ref="C21:L2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E4474-30B2-9244-873F-2E876CDDC345}">
  <dimension ref="A1:N11"/>
  <sheetViews>
    <sheetView zoomScale="168" zoomScaleNormal="100" workbookViewId="0">
      <selection activeCell="C10" sqref="C10"/>
    </sheetView>
  </sheetViews>
  <sheetFormatPr baseColWidth="10" defaultRowHeight="16" x14ac:dyDescent="0.2"/>
  <cols>
    <col min="1" max="1" width="2" style="14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143" customFormat="1" ht="18" customHeight="1" x14ac:dyDescent="0.2">
      <c r="A1" s="141"/>
      <c r="B1" s="142" t="s">
        <v>363</v>
      </c>
    </row>
    <row r="2" spans="1:14" x14ac:dyDescent="0.2">
      <c r="N2" s="92"/>
    </row>
    <row r="3" spans="1:14" x14ac:dyDescent="0.2">
      <c r="N3" s="92"/>
    </row>
    <row r="4" spans="1:14" x14ac:dyDescent="0.2">
      <c r="B4" s="233" t="s">
        <v>364</v>
      </c>
      <c r="C4" s="233"/>
      <c r="N4" s="92"/>
    </row>
    <row r="5" spans="1:14" x14ac:dyDescent="0.2">
      <c r="B5" s="1" t="s">
        <v>365</v>
      </c>
      <c r="C5" s="216">
        <f>DCF!C26</f>
        <v>10.5931598413353</v>
      </c>
    </row>
    <row r="6" spans="1:14" x14ac:dyDescent="0.2">
      <c r="B6" s="1" t="s">
        <v>366</v>
      </c>
      <c r="C6" s="216">
        <f>Multiples!C44</f>
        <v>16.921260379134157</v>
      </c>
    </row>
    <row r="7" spans="1:14" x14ac:dyDescent="0.2">
      <c r="B7" s="1" t="s">
        <v>367</v>
      </c>
      <c r="C7" s="216">
        <f>Multiples!C52</f>
        <v>19.763795907530326</v>
      </c>
    </row>
    <row r="8" spans="1:14" x14ac:dyDescent="0.2">
      <c r="B8" s="1" t="s">
        <v>368</v>
      </c>
      <c r="C8" s="216">
        <f>Multiples!C61</f>
        <v>9.5649206639213613</v>
      </c>
    </row>
    <row r="9" spans="1:14" x14ac:dyDescent="0.2">
      <c r="B9" s="202" t="s">
        <v>369</v>
      </c>
      <c r="C9" s="203">
        <f>AVERAGE(C5:C8)</f>
        <v>14.210784197980287</v>
      </c>
    </row>
    <row r="10" spans="1:14" x14ac:dyDescent="0.2">
      <c r="B10" s="1" t="s">
        <v>370</v>
      </c>
      <c r="C10" s="35">
        <f>Overview!C3</f>
        <v>9.0500000000000007</v>
      </c>
    </row>
    <row r="11" spans="1:14" x14ac:dyDescent="0.2">
      <c r="B11" s="1" t="s">
        <v>371</v>
      </c>
      <c r="C11" s="90">
        <f>(C9-C10)/C10</f>
        <v>0.5702523975668824</v>
      </c>
    </row>
  </sheetData>
  <mergeCells count="1">
    <mergeCell ref="B4:C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BCCBD-D9FF-CC44-980E-3A7054CF9546}">
  <dimension ref="A1:AB49"/>
  <sheetViews>
    <sheetView zoomScale="209" zoomScaleNormal="100" workbookViewId="0">
      <selection activeCell="C6" sqref="C6"/>
    </sheetView>
  </sheetViews>
  <sheetFormatPr baseColWidth="10" defaultRowHeight="16" x14ac:dyDescent="0.2"/>
  <cols>
    <col min="1" max="1" width="2" style="143" customWidth="1"/>
    <col min="2" max="2" width="32"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143" customFormat="1" ht="18" customHeight="1" x14ac:dyDescent="0.2">
      <c r="A1" s="141"/>
      <c r="B1" s="142" t="s">
        <v>372</v>
      </c>
    </row>
    <row r="2" spans="1:28" s="143" customFormat="1" ht="18" customHeight="1" x14ac:dyDescent="0.2">
      <c r="A2" s="141"/>
      <c r="B2" s="142"/>
    </row>
    <row r="3" spans="1:28" x14ac:dyDescent="0.2">
      <c r="A3" s="141"/>
      <c r="C3" s="233" t="s">
        <v>112</v>
      </c>
      <c r="D3" s="233"/>
      <c r="E3" s="233"/>
      <c r="F3" s="233"/>
      <c r="G3" s="234"/>
      <c r="H3" s="235" t="s">
        <v>113</v>
      </c>
      <c r="I3" s="233"/>
      <c r="J3" s="233"/>
      <c r="K3" s="233"/>
      <c r="L3" s="233"/>
      <c r="P3" s="239"/>
      <c r="Q3" s="239"/>
      <c r="R3" s="239"/>
      <c r="S3" s="239"/>
      <c r="T3" s="239"/>
      <c r="U3" s="239"/>
      <c r="V3" s="239"/>
      <c r="W3" s="239"/>
      <c r="X3" s="239"/>
      <c r="Y3" s="239"/>
      <c r="Z3" s="239"/>
      <c r="AB3" s="174"/>
    </row>
    <row r="4" spans="1:28" ht="10" customHeight="1" x14ac:dyDescent="0.2"/>
    <row r="5" spans="1:28" ht="16" customHeight="1" x14ac:dyDescent="0.2">
      <c r="A5" s="146"/>
      <c r="B5" s="93"/>
      <c r="C5" s="230" t="s">
        <v>331</v>
      </c>
      <c r="D5" s="230"/>
      <c r="E5" s="230"/>
      <c r="F5" s="230"/>
      <c r="G5" s="230"/>
      <c r="H5" s="230"/>
      <c r="I5" s="230"/>
      <c r="J5" s="230"/>
      <c r="K5" s="230"/>
      <c r="L5" s="230"/>
      <c r="P5" s="239"/>
      <c r="Q5" s="239"/>
      <c r="R5" s="239"/>
      <c r="S5" s="239"/>
      <c r="T5" s="239"/>
      <c r="U5" s="239"/>
      <c r="V5" s="239"/>
      <c r="W5" s="239"/>
      <c r="X5" s="239"/>
      <c r="Y5" s="239"/>
      <c r="Z5" s="239"/>
      <c r="AB5" s="175"/>
    </row>
    <row r="6" spans="1:28" x14ac:dyDescent="0.2">
      <c r="B6" s="7" t="s">
        <v>286</v>
      </c>
      <c r="C6" s="229">
        <f>Revenue!C5</f>
        <v>2022</v>
      </c>
      <c r="D6" s="229">
        <f>Revenue!D5</f>
        <v>2023</v>
      </c>
      <c r="E6" s="229">
        <f>Revenue!E5</f>
        <v>2024</v>
      </c>
      <c r="F6" s="229">
        <f>Revenue!F5</f>
        <v>2025</v>
      </c>
      <c r="G6" s="229">
        <f>Revenue!G5</f>
        <v>2026</v>
      </c>
      <c r="H6" s="229">
        <f>Revenue!H5</f>
        <v>2027</v>
      </c>
      <c r="I6" s="229">
        <f>Revenue!I5</f>
        <v>2028</v>
      </c>
      <c r="J6" s="229">
        <f>Revenue!J5</f>
        <v>2029</v>
      </c>
      <c r="K6" s="229">
        <f>Revenue!K5</f>
        <v>2030</v>
      </c>
      <c r="L6" s="229">
        <f>Revenue!L5</f>
        <v>2031</v>
      </c>
      <c r="O6" s="7"/>
      <c r="P6" s="176"/>
      <c r="Q6" s="176"/>
      <c r="R6" s="176"/>
      <c r="S6" s="176"/>
      <c r="T6" s="176"/>
      <c r="U6" s="176"/>
      <c r="V6" s="176"/>
      <c r="W6" s="176"/>
      <c r="X6" s="176"/>
      <c r="Y6" s="176"/>
      <c r="Z6" s="176"/>
      <c r="AB6" s="175"/>
    </row>
    <row r="7" spans="1:28" x14ac:dyDescent="0.2">
      <c r="B7" s="8" t="s">
        <v>313</v>
      </c>
      <c r="C7" s="177">
        <f>'FCF &amp; Other'!C35</f>
        <v>-145644.79948677309</v>
      </c>
      <c r="D7" s="177">
        <f>'FCF &amp; Other'!D35</f>
        <v>-182527.4188189886</v>
      </c>
      <c r="E7" s="177">
        <f>'FCF &amp; Other'!E35</f>
        <v>-132869.91619046565</v>
      </c>
      <c r="F7" s="177">
        <f>'FCF &amp; Other'!F35</f>
        <v>-58671.16900790167</v>
      </c>
      <c r="G7" s="178">
        <v>1000</v>
      </c>
      <c r="H7" s="120">
        <f>G7*(1+$C$17)</f>
        <v>2250</v>
      </c>
      <c r="I7" s="120">
        <f t="shared" ref="I7:L7" si="0">H7*(1+$C$17)</f>
        <v>5062.5</v>
      </c>
      <c r="J7" s="120">
        <f t="shared" si="0"/>
        <v>11390.625</v>
      </c>
      <c r="K7" s="120">
        <f t="shared" si="0"/>
        <v>25628.90625</v>
      </c>
      <c r="L7" s="120">
        <f t="shared" si="0"/>
        <v>57665.0390625</v>
      </c>
      <c r="N7" s="92"/>
      <c r="O7" s="7"/>
      <c r="P7" s="152"/>
      <c r="Q7" s="152"/>
      <c r="R7" s="152"/>
      <c r="S7" s="152"/>
      <c r="T7" s="152"/>
      <c r="U7" s="152"/>
      <c r="V7" s="152"/>
      <c r="W7" s="152"/>
      <c r="X7" s="154"/>
      <c r="Y7" s="154"/>
      <c r="Z7" s="154"/>
      <c r="AB7" s="154"/>
    </row>
    <row r="8" spans="1:28" x14ac:dyDescent="0.2">
      <c r="B8" s="8" t="s">
        <v>332</v>
      </c>
      <c r="C8" s="199"/>
      <c r="D8" s="199"/>
      <c r="E8" s="199"/>
      <c r="F8" s="199"/>
      <c r="G8" s="200"/>
      <c r="H8" s="199"/>
      <c r="I8" s="199"/>
      <c r="J8" s="199"/>
      <c r="K8" s="199"/>
      <c r="L8" s="120">
        <f>L7*(1+C20)/(C21-C20)</f>
        <v>899656.21041939163</v>
      </c>
      <c r="N8" s="92"/>
      <c r="O8" s="7"/>
      <c r="P8" s="152"/>
      <c r="Q8" s="152"/>
      <c r="R8" s="152"/>
      <c r="S8" s="152"/>
      <c r="T8" s="152"/>
      <c r="U8" s="152"/>
      <c r="V8" s="152"/>
      <c r="W8" s="152"/>
      <c r="X8" s="154"/>
      <c r="Y8" s="154"/>
      <c r="Z8" s="154"/>
      <c r="AB8" s="154"/>
    </row>
    <row r="9" spans="1:28" x14ac:dyDescent="0.2">
      <c r="B9" s="1" t="s">
        <v>333</v>
      </c>
      <c r="C9" s="199"/>
      <c r="D9" s="199"/>
      <c r="E9" s="199"/>
      <c r="F9" s="199"/>
      <c r="G9" s="200"/>
      <c r="H9" s="36">
        <v>1</v>
      </c>
      <c r="I9" s="36">
        <v>2</v>
      </c>
      <c r="J9" s="36">
        <v>3</v>
      </c>
      <c r="K9" s="36">
        <v>4</v>
      </c>
      <c r="L9" s="36">
        <v>5</v>
      </c>
      <c r="N9" s="92"/>
    </row>
    <row r="10" spans="1:28" x14ac:dyDescent="0.2">
      <c r="B10" s="1" t="s">
        <v>334</v>
      </c>
      <c r="C10" s="199"/>
      <c r="D10" s="199"/>
      <c r="E10" s="199"/>
      <c r="F10" s="199"/>
      <c r="G10" s="200"/>
      <c r="H10" s="120">
        <f>H7/(1+$C$21)^H9</f>
        <v>2073.009200779898</v>
      </c>
      <c r="I10" s="120">
        <f t="shared" ref="I10:L10" si="1">I7/(1+$C$21)^I9</f>
        <v>4297.3671465181123</v>
      </c>
      <c r="J10" s="120">
        <f t="shared" si="1"/>
        <v>8908.4816338613036</v>
      </c>
      <c r="K10" s="120">
        <f t="shared" si="1"/>
        <v>18467.364391973228</v>
      </c>
      <c r="L10" s="120">
        <f t="shared" si="1"/>
        <v>38283.016298715571</v>
      </c>
      <c r="N10" s="92"/>
    </row>
    <row r="11" spans="1:28" x14ac:dyDescent="0.2">
      <c r="B11" s="1" t="s">
        <v>335</v>
      </c>
      <c r="C11" s="199"/>
      <c r="D11" s="199"/>
      <c r="E11" s="199"/>
      <c r="F11" s="199"/>
      <c r="G11" s="200"/>
      <c r="H11" s="199"/>
      <c r="I11" s="199"/>
      <c r="J11" s="199"/>
      <c r="K11" s="199"/>
      <c r="L11" s="120">
        <f>L8/(1+C21)^L9</f>
        <v>597269.22805682884</v>
      </c>
    </row>
    <row r="13" spans="1:28" ht="17" thickBot="1" x14ac:dyDescent="0.25"/>
    <row r="14" spans="1:28" x14ac:dyDescent="0.2">
      <c r="B14" s="240" t="s">
        <v>373</v>
      </c>
      <c r="C14" s="241"/>
    </row>
    <row r="15" spans="1:28" x14ac:dyDescent="0.2">
      <c r="B15" s="217" t="s">
        <v>374</v>
      </c>
      <c r="C15" s="218">
        <f>Overview!C3</f>
        <v>9.0500000000000007</v>
      </c>
    </row>
    <row r="16" spans="1:28" x14ac:dyDescent="0.2">
      <c r="B16" s="217" t="s">
        <v>375</v>
      </c>
      <c r="C16" s="218">
        <f>C36</f>
        <v>10.582763634591394</v>
      </c>
    </row>
    <row r="17" spans="2:9" ht="17" thickBot="1" x14ac:dyDescent="0.25">
      <c r="B17" s="113" t="s">
        <v>376</v>
      </c>
      <c r="C17" s="219">
        <v>1.25</v>
      </c>
      <c r="E17" s="242" t="s">
        <v>377</v>
      </c>
      <c r="F17" s="242"/>
      <c r="G17" s="242"/>
      <c r="H17" s="242"/>
      <c r="I17" s="242"/>
    </row>
    <row r="18" spans="2:9" ht="17" thickBot="1" x14ac:dyDescent="0.25"/>
    <row r="19" spans="2:9" x14ac:dyDescent="0.2">
      <c r="B19" s="240" t="s">
        <v>336</v>
      </c>
      <c r="C19" s="241"/>
    </row>
    <row r="20" spans="2:9" x14ac:dyDescent="0.2">
      <c r="B20" s="111" t="s">
        <v>337</v>
      </c>
      <c r="C20" s="220">
        <v>0.02</v>
      </c>
    </row>
    <row r="21" spans="2:9" x14ac:dyDescent="0.2">
      <c r="B21" s="111" t="s">
        <v>315</v>
      </c>
      <c r="C21" s="221">
        <f>WACC!C20</f>
        <v>8.537868483821251E-2</v>
      </c>
    </row>
    <row r="22" spans="2:9" x14ac:dyDescent="0.2">
      <c r="B22" s="111" t="s">
        <v>4</v>
      </c>
      <c r="C22" s="222">
        <f>'Statement Q'!N147</f>
        <v>60763</v>
      </c>
    </row>
    <row r="23" spans="2:9" x14ac:dyDescent="0.2">
      <c r="B23" s="111" t="s">
        <v>224</v>
      </c>
      <c r="C23" s="222">
        <f>C15*C22</f>
        <v>549905.15</v>
      </c>
    </row>
    <row r="24" spans="2:9" x14ac:dyDescent="0.2">
      <c r="B24" s="111" t="s">
        <v>351</v>
      </c>
      <c r="C24" s="222">
        <f>Statements!S26</f>
        <v>73830</v>
      </c>
    </row>
    <row r="25" spans="2:9" x14ac:dyDescent="0.2">
      <c r="B25" s="111" t="s">
        <v>319</v>
      </c>
      <c r="C25" s="222">
        <f>Statements!S48+Statements!S56</f>
        <v>100088</v>
      </c>
    </row>
    <row r="26" spans="2:9" ht="17" thickBot="1" x14ac:dyDescent="0.25">
      <c r="B26" s="113" t="s">
        <v>378</v>
      </c>
      <c r="C26" s="223">
        <f>C23+C25-C24</f>
        <v>576163.15</v>
      </c>
    </row>
    <row r="27" spans="2:9" ht="17" thickBot="1" x14ac:dyDescent="0.25"/>
    <row r="28" spans="2:9" x14ac:dyDescent="0.2">
      <c r="B28" s="240" t="s">
        <v>79</v>
      </c>
      <c r="C28" s="241"/>
    </row>
    <row r="29" spans="2:9" x14ac:dyDescent="0.2">
      <c r="B29" s="111" t="s">
        <v>338</v>
      </c>
      <c r="C29" s="222">
        <f>SUM(H10:L10)</f>
        <v>72029.238671848114</v>
      </c>
    </row>
    <row r="30" spans="2:9" x14ac:dyDescent="0.2">
      <c r="B30" s="111" t="s">
        <v>335</v>
      </c>
      <c r="C30" s="222">
        <f>L11</f>
        <v>597269.22805682884</v>
      </c>
    </row>
    <row r="31" spans="2:9" x14ac:dyDescent="0.2">
      <c r="B31" s="224" t="s">
        <v>339</v>
      </c>
      <c r="C31" s="225">
        <f>C29+C30</f>
        <v>669298.46672867693</v>
      </c>
    </row>
    <row r="32" spans="2:9" x14ac:dyDescent="0.2">
      <c r="B32" s="111" t="s">
        <v>340</v>
      </c>
      <c r="C32" s="112">
        <f>C24</f>
        <v>73830</v>
      </c>
    </row>
    <row r="33" spans="2:12" x14ac:dyDescent="0.2">
      <c r="B33" s="111" t="s">
        <v>341</v>
      </c>
      <c r="C33" s="112">
        <f>C25</f>
        <v>100088</v>
      </c>
    </row>
    <row r="34" spans="2:12" x14ac:dyDescent="0.2">
      <c r="B34" s="224" t="s">
        <v>342</v>
      </c>
      <c r="C34" s="225">
        <f>C31+C32-C33</f>
        <v>643040.46672867693</v>
      </c>
    </row>
    <row r="35" spans="2:12" x14ac:dyDescent="0.2">
      <c r="B35" s="111" t="s">
        <v>4</v>
      </c>
      <c r="C35" s="222">
        <f>C22</f>
        <v>60763</v>
      </c>
    </row>
    <row r="36" spans="2:12" ht="17" thickBot="1" x14ac:dyDescent="0.25">
      <c r="B36" s="226" t="s">
        <v>343</v>
      </c>
      <c r="C36" s="227">
        <f>C34/C35</f>
        <v>10.582763634591394</v>
      </c>
    </row>
    <row r="39" spans="2:12" x14ac:dyDescent="0.2">
      <c r="C39" s="230" t="s">
        <v>379</v>
      </c>
      <c r="D39" s="230"/>
      <c r="E39" s="230"/>
      <c r="F39" s="230"/>
      <c r="G39" s="230"/>
      <c r="H39" s="230"/>
      <c r="I39" s="230"/>
      <c r="J39" s="230"/>
      <c r="K39" s="230"/>
      <c r="L39" s="230"/>
    </row>
    <row r="40" spans="2:12" x14ac:dyDescent="0.2">
      <c r="C40" s="64">
        <f>C6</f>
        <v>2022</v>
      </c>
      <c r="D40" s="64">
        <f t="shared" ref="D40:L41" si="2">D6</f>
        <v>2023</v>
      </c>
      <c r="E40" s="64">
        <f t="shared" si="2"/>
        <v>2024</v>
      </c>
      <c r="F40" s="64">
        <f t="shared" si="2"/>
        <v>2025</v>
      </c>
      <c r="G40" s="64">
        <f t="shared" si="2"/>
        <v>2026</v>
      </c>
      <c r="H40" s="64">
        <f t="shared" si="2"/>
        <v>2027</v>
      </c>
      <c r="I40" s="64">
        <f t="shared" si="2"/>
        <v>2028</v>
      </c>
      <c r="J40" s="64">
        <f t="shared" si="2"/>
        <v>2029</v>
      </c>
      <c r="K40" s="64">
        <f t="shared" si="2"/>
        <v>2030</v>
      </c>
      <c r="L40" s="64">
        <f t="shared" si="2"/>
        <v>2031</v>
      </c>
    </row>
    <row r="41" spans="2:12" x14ac:dyDescent="0.2">
      <c r="B41" s="8" t="s">
        <v>313</v>
      </c>
      <c r="C41" s="177">
        <f>C7</f>
        <v>-145644.79948677309</v>
      </c>
      <c r="D41" s="177">
        <f t="shared" si="2"/>
        <v>-182527.4188189886</v>
      </c>
      <c r="E41" s="177">
        <f t="shared" si="2"/>
        <v>-132869.91619046565</v>
      </c>
      <c r="F41" s="177">
        <f t="shared" si="2"/>
        <v>-58671.16900790167</v>
      </c>
      <c r="G41" s="178">
        <f t="shared" si="2"/>
        <v>1000</v>
      </c>
      <c r="H41" s="104">
        <f t="shared" si="2"/>
        <v>2250</v>
      </c>
      <c r="I41" s="104">
        <f t="shared" si="2"/>
        <v>5062.5</v>
      </c>
      <c r="J41" s="104">
        <f t="shared" si="2"/>
        <v>11390.625</v>
      </c>
      <c r="K41" s="104">
        <f t="shared" si="2"/>
        <v>25628.90625</v>
      </c>
      <c r="L41" s="104">
        <f t="shared" si="2"/>
        <v>57665.0390625</v>
      </c>
    </row>
    <row r="42" spans="2:12" x14ac:dyDescent="0.2">
      <c r="B42" s="1" t="s">
        <v>308</v>
      </c>
      <c r="C42" s="177">
        <f>'FCF &amp; Other'!C17</f>
        <v>-117752.45000000001</v>
      </c>
      <c r="D42" s="177">
        <f>'FCF &amp; Other'!D17</f>
        <v>-178256.55</v>
      </c>
      <c r="E42" s="177">
        <f>'FCF &amp; Other'!E17</f>
        <v>-137186.95000000001</v>
      </c>
      <c r="F42" s="177">
        <f>'FCF &amp; Other'!F17</f>
        <v>-58838.5</v>
      </c>
      <c r="G42" s="178">
        <f>'FCF &amp; Other'!G17</f>
        <v>-7211.85</v>
      </c>
      <c r="H42" s="104">
        <f>H41/H43</f>
        <v>2500</v>
      </c>
      <c r="I42" s="104">
        <f t="shared" ref="I42:L42" si="3">I41/I43</f>
        <v>5625</v>
      </c>
      <c r="J42" s="104">
        <f t="shared" si="3"/>
        <v>12656.25</v>
      </c>
      <c r="K42" s="104">
        <f t="shared" si="3"/>
        <v>28476.5625</v>
      </c>
      <c r="L42" s="104">
        <f t="shared" si="3"/>
        <v>64072.265625</v>
      </c>
    </row>
    <row r="43" spans="2:12" x14ac:dyDescent="0.2">
      <c r="B43" s="106" t="s">
        <v>380</v>
      </c>
      <c r="C43" s="108">
        <f>C41/C42</f>
        <v>1.2368727740847267</v>
      </c>
      <c r="D43" s="108">
        <f t="shared" ref="D43:G43" si="4">D41/D42</f>
        <v>1.0239591129694174</v>
      </c>
      <c r="E43" s="108">
        <f t="shared" si="4"/>
        <v>0.96853174584365087</v>
      </c>
      <c r="F43" s="108">
        <f t="shared" si="4"/>
        <v>0.99715609690766538</v>
      </c>
      <c r="G43" s="156">
        <f t="shared" si="4"/>
        <v>-0.13866067652544076</v>
      </c>
      <c r="H43" s="116">
        <v>0.9</v>
      </c>
      <c r="I43" s="116">
        <v>0.9</v>
      </c>
      <c r="J43" s="116">
        <v>0.9</v>
      </c>
      <c r="K43" s="116">
        <v>0.9</v>
      </c>
      <c r="L43" s="116">
        <v>0.9</v>
      </c>
    </row>
    <row r="44" spans="2:12" x14ac:dyDescent="0.2">
      <c r="B44" s="1" t="s">
        <v>6</v>
      </c>
      <c r="C44" s="177">
        <f>Revenue!C9</f>
        <v>213233</v>
      </c>
      <c r="D44" s="177">
        <f>Revenue!D9</f>
        <v>280910</v>
      </c>
      <c r="E44" s="177">
        <f>Revenue!E9</f>
        <v>356299</v>
      </c>
      <c r="F44" s="177">
        <f>Revenue!F9</f>
        <v>419813</v>
      </c>
      <c r="G44" s="178">
        <f>Revenue!G9</f>
        <v>480591</v>
      </c>
      <c r="H44" s="104">
        <f>H41/H45</f>
        <v>450000</v>
      </c>
      <c r="I44" s="104">
        <f t="shared" ref="I44:L44" si="5">I41/I45</f>
        <v>506250</v>
      </c>
      <c r="J44" s="104">
        <f t="shared" si="5"/>
        <v>569531.25</v>
      </c>
      <c r="K44" s="104">
        <f t="shared" si="5"/>
        <v>640722.65625</v>
      </c>
      <c r="L44" s="104">
        <f t="shared" si="5"/>
        <v>720812.98828125</v>
      </c>
    </row>
    <row r="45" spans="2:12" x14ac:dyDescent="0.2">
      <c r="B45" s="106" t="s">
        <v>381</v>
      </c>
      <c r="C45" s="108">
        <f>C41/C44</f>
        <v>-0.68303123572229951</v>
      </c>
      <c r="D45" s="108">
        <f t="shared" ref="D45:G45" si="6">D41/D44</f>
        <v>-0.64977188002915032</v>
      </c>
      <c r="E45" s="108">
        <f t="shared" si="6"/>
        <v>-0.372916893368956</v>
      </c>
      <c r="F45" s="108">
        <f t="shared" si="6"/>
        <v>-0.13975548400812188</v>
      </c>
      <c r="G45" s="156">
        <f t="shared" si="6"/>
        <v>2.0807713835673163E-3</v>
      </c>
      <c r="H45" s="116">
        <v>5.0000000000000001E-3</v>
      </c>
      <c r="I45" s="116">
        <v>0.01</v>
      </c>
      <c r="J45" s="116">
        <v>0.02</v>
      </c>
      <c r="K45" s="116">
        <v>0.04</v>
      </c>
      <c r="L45" s="116">
        <v>0.08</v>
      </c>
    </row>
    <row r="46" spans="2:12" x14ac:dyDescent="0.2">
      <c r="B46" s="106" t="s">
        <v>382</v>
      </c>
      <c r="C46" s="199"/>
      <c r="D46" s="108">
        <f>D41/C41-1</f>
        <v>0.25323677510067943</v>
      </c>
      <c r="E46" s="108">
        <f t="shared" ref="E46:L47" si="7">E41/D41-1</f>
        <v>-0.27205503123762476</v>
      </c>
      <c r="F46" s="108">
        <f t="shared" si="7"/>
        <v>-0.55843150436101696</v>
      </c>
      <c r="G46" s="156">
        <f t="shared" si="7"/>
        <v>-1.0170441465017566</v>
      </c>
      <c r="H46" s="117">
        <f t="shared" si="7"/>
        <v>1.25</v>
      </c>
      <c r="I46" s="117">
        <f t="shared" si="7"/>
        <v>1.25</v>
      </c>
      <c r="J46" s="117">
        <f t="shared" si="7"/>
        <v>1.25</v>
      </c>
      <c r="K46" s="117">
        <f t="shared" si="7"/>
        <v>1.25</v>
      </c>
      <c r="L46" s="117">
        <f t="shared" si="7"/>
        <v>1.25</v>
      </c>
    </row>
    <row r="47" spans="2:12" x14ac:dyDescent="0.2">
      <c r="B47" s="106" t="s">
        <v>383</v>
      </c>
      <c r="C47" s="199"/>
      <c r="D47" s="108">
        <f>D42/C42-1</f>
        <v>0.51382455311970121</v>
      </c>
      <c r="E47" s="108">
        <f t="shared" si="7"/>
        <v>-0.23039602191336017</v>
      </c>
      <c r="F47" s="108">
        <f t="shared" si="7"/>
        <v>-0.57110716434762931</v>
      </c>
      <c r="G47" s="156">
        <f t="shared" si="7"/>
        <v>-0.87742974413011887</v>
      </c>
      <c r="H47" s="117">
        <f t="shared" si="7"/>
        <v>-1.346651691313602</v>
      </c>
      <c r="I47" s="117">
        <f t="shared" si="7"/>
        <v>1.25</v>
      </c>
      <c r="J47" s="117">
        <f t="shared" si="7"/>
        <v>1.25</v>
      </c>
      <c r="K47" s="117">
        <f t="shared" si="7"/>
        <v>1.25</v>
      </c>
      <c r="L47" s="117">
        <f t="shared" si="7"/>
        <v>1.25</v>
      </c>
    </row>
    <row r="48" spans="2:12" x14ac:dyDescent="0.2">
      <c r="B48" s="106" t="s">
        <v>111</v>
      </c>
      <c r="C48" s="199"/>
      <c r="D48" s="108">
        <f>D44/C44-1</f>
        <v>0.31738520773051082</v>
      </c>
      <c r="E48" s="108">
        <f t="shared" ref="E48:L48" si="8">E44/D44-1</f>
        <v>0.26837421238118964</v>
      </c>
      <c r="F48" s="108">
        <f t="shared" si="8"/>
        <v>0.17826039365813551</v>
      </c>
      <c r="G48" s="156">
        <f t="shared" si="8"/>
        <v>0.14477398270182196</v>
      </c>
      <c r="H48" s="117">
        <f t="shared" si="8"/>
        <v>-6.3652877394707819E-2</v>
      </c>
      <c r="I48" s="117">
        <f t="shared" si="8"/>
        <v>0.125</v>
      </c>
      <c r="J48" s="117">
        <f t="shared" si="8"/>
        <v>0.125</v>
      </c>
      <c r="K48" s="117">
        <f t="shared" si="8"/>
        <v>0.125</v>
      </c>
      <c r="L48" s="117">
        <f t="shared" si="8"/>
        <v>0.125</v>
      </c>
    </row>
    <row r="49" spans="2:12" x14ac:dyDescent="0.2">
      <c r="B49" s="106" t="s">
        <v>384</v>
      </c>
      <c r="C49" s="108">
        <f>C42/C44</f>
        <v>-0.55222432737897043</v>
      </c>
      <c r="D49" s="108">
        <f t="shared" ref="D49:L49" si="9">D42/D44</f>
        <v>-0.63456818909971158</v>
      </c>
      <c r="E49" s="108">
        <f t="shared" si="9"/>
        <v>-0.3850332164839082</v>
      </c>
      <c r="F49" s="108">
        <f t="shared" si="9"/>
        <v>-0.14015406859720875</v>
      </c>
      <c r="G49" s="156">
        <f t="shared" si="9"/>
        <v>-1.500621110257995E-2</v>
      </c>
      <c r="H49" s="117">
        <f t="shared" si="9"/>
        <v>5.5555555555555558E-3</v>
      </c>
      <c r="I49" s="117">
        <f t="shared" si="9"/>
        <v>1.1111111111111112E-2</v>
      </c>
      <c r="J49" s="117">
        <f t="shared" si="9"/>
        <v>2.2222222222222223E-2</v>
      </c>
      <c r="K49" s="117">
        <f t="shared" si="9"/>
        <v>4.4444444444444446E-2</v>
      </c>
      <c r="L49" s="117">
        <f t="shared" si="9"/>
        <v>8.8888888888888892E-2</v>
      </c>
    </row>
  </sheetData>
  <mergeCells count="11">
    <mergeCell ref="C3:G3"/>
    <mergeCell ref="H3:L3"/>
    <mergeCell ref="P3:W3"/>
    <mergeCell ref="X3:Z3"/>
    <mergeCell ref="C5:L5"/>
    <mergeCell ref="P5:Z5"/>
    <mergeCell ref="B14:C14"/>
    <mergeCell ref="E17:I17"/>
    <mergeCell ref="B19:C19"/>
    <mergeCell ref="B28:C28"/>
    <mergeCell ref="C39:L39"/>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Overview</vt:lpstr>
      <vt:lpstr>Financials -&gt;</vt:lpstr>
      <vt:lpstr>Statement Y</vt:lpstr>
      <vt:lpstr>Statement Q</vt:lpstr>
      <vt:lpstr>Statements</vt:lpstr>
      <vt:lpstr>Forecast -&gt;</vt:lpstr>
      <vt:lpstr>Revenue</vt:lpstr>
      <vt:lpstr>COGS &amp; OpEx</vt:lpstr>
      <vt:lpstr>WC &amp; Investments</vt:lpstr>
      <vt:lpstr>FCF &amp; Other</vt:lpstr>
      <vt:lpstr>Valuation -&gt;</vt:lpstr>
      <vt:lpstr>WACC</vt:lpstr>
      <vt:lpstr>DCF</vt:lpstr>
      <vt:lpstr>Multiples</vt:lpstr>
      <vt:lpstr>AVG target price</vt:lpstr>
      <vt:lpstr>Reverse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2026-07-04T20:58:49Z</dcterms:modified>
</cp:coreProperties>
</file>